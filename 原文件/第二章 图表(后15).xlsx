
<file path=[Content_Types].xml><?xml version="1.0" encoding="utf-8"?>
<Types xmlns="http://schemas.openxmlformats.org/package/2006/content-types">
  <Override PartName="/xl/worksheets/sheet13.xml" ContentType="application/vnd.openxmlformats-officedocument.spreadsheetml.worksheet+xml"/>
  <Override PartName="/xl/styles.xml" ContentType="application/vnd.openxmlformats-officedocument.spreadsheetml.styles+xml"/>
  <Override PartName="/xl/drawings/drawing6.xml" ContentType="application/vnd.openxmlformats-officedocument.drawingml.chartshapes+xml"/>
  <Override PartName="/xl/charts/chart4.xml" ContentType="application/vnd.openxmlformats-officedocument.drawingml.chart+xml"/>
  <Override PartName="/xl/charts/style6.xml" ContentType="application/vnd.ms-office.chartstyle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17.xml" ContentType="application/vnd.openxmlformats-officedocument.drawing+xml"/>
  <Override PartName="/xl/drawings/drawing28.xml" ContentType="application/vnd.openxmlformats-officedocument.drawingml.chartshapes+xml"/>
  <Override PartName="/xl/charts/style4.xml" ContentType="application/vnd.ms-office.chartstyle+xml"/>
  <Override PartName="/xl/charts/style16.xml" ContentType="application/vnd.ms-office.chartstyle+xml"/>
  <Override PartName="/xl/charts/colors15.xml" ContentType="application/vnd.ms-office.chartcolorstyle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ml.chartshapes+xml"/>
  <Override PartName="/xl/drawings/drawing15.xml" ContentType="application/vnd.openxmlformats-officedocument.drawing+xml"/>
  <Override PartName="/xl/drawings/drawing26.xml" ContentType="application/vnd.openxmlformats-officedocument.drawingml.chartshapes+xml"/>
  <Override PartName="/xl/charts/style2.xml" ContentType="application/vnd.ms-office.chartstyle+xml"/>
  <Override PartName="/xl/charts/style14.xml" ContentType="application/vnd.ms-office.chartstyle+xml"/>
  <Override PartName="/xl/charts/colors13.xml" ContentType="application/vnd.ms-office.chartcolorstyle+xml"/>
  <Override PartName="/xl/charts/colors9.xml" ContentType="application/vnd.ms-office.chartcolorstyle+xml"/>
  <Override PartName="/xl/worksheets/sheet3.xml" ContentType="application/vnd.openxmlformats-officedocument.spreadsheetml.worksheet+xml"/>
  <Override PartName="/xl/drawings/drawing13.xml" ContentType="application/vnd.openxmlformats-officedocument.drawing+xml"/>
  <Override PartName="/xl/drawings/drawing22.xml" ContentType="application/vnd.openxmlformats-officedocument.drawingml.chartshapes+xml"/>
  <Override PartName="/xl/drawings/drawing24.xml" ContentType="application/vnd.openxmlformats-officedocument.drawingml.chartshapes+xml"/>
  <Override PartName="/xl/charts/colors7.xml" ContentType="application/vnd.ms-office.chartcolorstyle+xml"/>
  <Override PartName="/xl/charts/style12.xml" ContentType="application/vnd.ms-office.chartstyle+xml"/>
  <Override PartName="/xl/charts/colors11.xml" ContentType="application/vnd.ms-office.chartcolorstyle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drawings/drawing11.xml" ContentType="application/vnd.openxmlformats-officedocument.drawing+xml"/>
  <Override PartName="/xl/drawings/drawing20.xml" ContentType="application/vnd.openxmlformats-officedocument.drawingml.chartshapes+xml"/>
  <Override PartName="/xl/charts/chart16.xml" ContentType="application/vnd.openxmlformats-officedocument.drawingml.chart+xml"/>
  <Override PartName="/xl/charts/style10.xml" ContentType="application/vnd.ms-office.chartstyle+xml"/>
  <Override PartName="/xl/charts/colors5.xml" ContentType="application/vnd.ms-office.chartcolorstyle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olors3.xml" ContentType="application/vnd.ms-office.chartcolorstyle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olors1.xml" ContentType="application/vnd.ms-office.chartcolorstyle+xml"/>
  <Default Extension="bin" ContentType="application/vnd.openxmlformats-officedocument.spreadsheetml.printerSettings"/>
  <Default Extension="png" ContentType="image/png"/>
  <Override PartName="/xl/drawings/drawing9.xml" ContentType="application/vnd.openxmlformats-officedocument.drawing+xml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charts/style9.xml" ContentType="application/vnd.ms-office.chartstyle+xml"/>
  <Override PartName="/xl/worksheets/sheet14.xml" ContentType="application/vnd.openxmlformats-officedocument.spreadsheetml.worksheet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drawings/drawing29.xml" ContentType="application/vnd.openxmlformats-officedocument.drawing+xml"/>
  <Override PartName="/xl/charts/style7.xml" ContentType="application/vnd.ms-office.chartstyle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18.xml" ContentType="application/vnd.openxmlformats-officedocument.drawingml.chartshapes+xml"/>
  <Override PartName="/xl/drawings/drawing27.xml" ContentType="application/vnd.openxmlformats-officedocument.drawing+xml"/>
  <Override PartName="/xl/charts/colors16.xml" ContentType="application/vnd.ms-office.chartcolorstyle+xml"/>
  <Override PartName="/xl/charts/style5.xml" ContentType="application/vnd.ms-office.chartstyle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drawings/drawing16.xml" ContentType="application/vnd.openxmlformats-officedocument.drawingml.chartshapes+xml"/>
  <Override PartName="/xl/drawings/drawing25.xml" ContentType="application/vnd.openxmlformats-officedocument.drawing+xml"/>
  <Override PartName="/xl/charts/colors14.xml" ContentType="application/vnd.ms-office.chartcolorstyle+xml"/>
  <Override PartName="/xl/charts/colors8.xml" ContentType="application/vnd.ms-office.chartcolorstyle+xml"/>
  <Override PartName="/xl/charts/style3.xml" ContentType="application/vnd.ms-office.chartstyle+xml"/>
  <Override PartName="/xl/charts/style1.xml" ContentType="application/vnd.ms-office.chartstyle+xml"/>
  <Override PartName="/xl/charts/style15.xml" ContentType="application/vnd.ms-office.chartstyl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14.xml" ContentType="application/vnd.openxmlformats-officedocument.drawingml.chartshapes+xml"/>
  <Override PartName="/xl/drawings/drawing23.xml" ContentType="application/vnd.openxmlformats-officedocument.drawing+xml"/>
  <Override PartName="/xl/charts/colors6.xml" ContentType="application/vnd.ms-office.chartcolorstyle+xml"/>
  <Override PartName="/xl/charts/colors12.xml" ContentType="application/vnd.ms-office.chartcolorstyle+xml"/>
  <Override PartName="/xl/charts/style13.xml" ContentType="application/vnd.ms-office.chartstyle+xml"/>
  <Override PartName="/xl/drawings/drawing12.xml" ContentType="application/vnd.openxmlformats-officedocument.drawingml.chartshapes+xml"/>
  <Override PartName="/xl/drawings/drawing21.xml" ContentType="application/vnd.openxmlformats-officedocument.drawing+xml"/>
  <Override PartName="/xl/charts/chart17.xml" ContentType="application/vnd.openxmlformats-officedocument.drawingml.chart+xml"/>
  <Override PartName="/xl/drawings/drawing30.xml" ContentType="application/vnd.openxmlformats-officedocument.drawingml.chartshapes+xml"/>
  <Override PartName="/xl/calcChain.xml" ContentType="application/vnd.openxmlformats-officedocument.spreadsheetml.calcChain+xml"/>
  <Override PartName="/xl/charts/colors4.xml" ContentType="application/vnd.ms-office.chartcolorstyle+xml"/>
  <Override PartName="/xl/charts/colors10.xml" ContentType="application/vnd.ms-office.chartcolorstyle+xml"/>
  <Override PartName="/xl/charts/style11.xml" ContentType="application/vnd.ms-office.chartstyle+xml"/>
  <Override PartName="/xl/drawings/drawing10.xml" ContentType="application/vnd.openxmlformats-officedocument.drawingml.chartshapes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olors2.xml" ContentType="application/vnd.ms-office.chartcolorstyle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docProps/core.xml" ContentType="application/vnd.openxmlformats-package.core-properties+xml"/>
  <Override PartName="/xl/worksheets/sheet15.xml" ContentType="application/vnd.openxmlformats-officedocument.spreadsheetml.worksheet+xml"/>
  <Override PartName="/xl/charts/chart6.xml" ContentType="application/vnd.openxmlformats-officedocument.drawingml.chart+xml"/>
  <Default Extension="svg" ContentType="image/svg+xml"/>
  <Override PartName="/xl/charts/style8.xml" ContentType="application/vnd.ms-office.chartstyle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drawings/drawing8.xml" ContentType="application/vnd.openxmlformats-officedocument.drawingml.chartshapes+xml"/>
  <Override PartName="/xl/drawings/drawing19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 codeName="ThisWorkbook"/>
  <bookViews>
    <workbookView xWindow="-105" yWindow="-105" windowWidth="21840" windowHeight="13740" tabRatio="933" activeTab="4"/>
  </bookViews>
  <sheets>
    <sheet name="16 波浪水球图 " sheetId="21" r:id="rId1"/>
    <sheet name="17 玉玦图" sheetId="22" r:id="rId2"/>
    <sheet name="18 跑道图" sheetId="23" r:id="rId3"/>
    <sheet name="19 南丁格尔圆饼图" sheetId="24" r:id="rId4"/>
    <sheet name="20 南丁格尔圆环图" sheetId="26" r:id="rId5"/>
    <sheet name="20 南丁格尔（PPT）" sheetId="25" r:id="rId6"/>
    <sheet name="22 仪表盘图" sheetId="18" r:id="rId7"/>
    <sheet name="23 柱形折线图" sheetId="1" r:id="rId8"/>
    <sheet name="24 目标柱形图" sheetId="10" r:id="rId9"/>
    <sheet name="25 子弹图" sheetId="15" r:id="rId10"/>
    <sheet name="26 柱形圆" sheetId="2" r:id="rId11"/>
    <sheet name="27 簇状柱形折线图" sheetId="28" r:id="rId12"/>
    <sheet name="28 复合柱形图" sheetId="4" r:id="rId13"/>
    <sheet name="29 滑珠图" sheetId="5" r:id="rId14"/>
    <sheet name="30 对比滑珠图" sheetId="6" r:id="rId15"/>
  </sheets>
  <externalReferences>
    <externalReference r:id="rId16"/>
  </externalReferences>
  <definedNames>
    <definedName name="_xlnm._FilterDatabase" localSheetId="6" hidden="1">'22 仪表盘图'!$B$24:$C$24</definedName>
    <definedName name="图表">OFFSET('[1]动态前N名 (2)'!$C$2,1,,'[1]动态前N名 (2)'!$E$5,1)</definedName>
    <definedName name="图表2">OFFSET([1]动态前N名!$G$2,1,,[1]动态前N名!$D$10,1)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3"/>
  <c r="D4"/>
  <c r="D5"/>
  <c r="D6"/>
  <c r="D7"/>
  <c r="D8"/>
  <c r="D3" i="22"/>
  <c r="D4"/>
  <c r="D5"/>
  <c r="D6"/>
  <c r="F3" i="18"/>
  <c r="F5" s="1"/>
  <c r="AH10" i="15" l="1"/>
  <c r="AH9"/>
  <c r="AH8"/>
  <c r="AH7"/>
  <c r="AH6"/>
  <c r="AH5"/>
  <c r="AL5" i="10"/>
  <c r="AL6"/>
  <c r="AL7"/>
  <c r="AL8"/>
  <c r="AL9"/>
  <c r="AL4"/>
  <c r="E8" i="6" l="1"/>
  <c r="E7"/>
  <c r="E6"/>
  <c r="E5"/>
  <c r="E4"/>
  <c r="D4" i="5"/>
  <c r="D5"/>
  <c r="D6"/>
  <c r="D7"/>
  <c r="D3"/>
  <c r="D16" i="4"/>
  <c r="D17"/>
  <c r="D15"/>
  <c r="D12"/>
  <c r="D13"/>
  <c r="D11"/>
  <c r="D8"/>
  <c r="D9"/>
  <c r="D7"/>
  <c r="D4"/>
  <c r="D5"/>
  <c r="D3"/>
  <c r="D5" i="1"/>
  <c r="D6"/>
  <c r="D7"/>
  <c r="D8"/>
  <c r="D4"/>
</calcChain>
</file>

<file path=xl/sharedStrings.xml><?xml version="1.0" encoding="utf-8"?>
<sst xmlns="http://schemas.openxmlformats.org/spreadsheetml/2006/main" count="142" uniqueCount="87">
  <si>
    <t>销售量</t>
  </si>
  <si>
    <t>同比</t>
    <phoneticPr fontId="2" type="noConversion"/>
  </si>
  <si>
    <t>2017</t>
  </si>
  <si>
    <t>2018</t>
  </si>
  <si>
    <t>2019</t>
  </si>
  <si>
    <t>2020</t>
  </si>
  <si>
    <t>2021</t>
  </si>
  <si>
    <t>2022</t>
  </si>
  <si>
    <t>年份</t>
    <phoneticPr fontId="2" type="noConversion"/>
  </si>
  <si>
    <t>占位</t>
    <phoneticPr fontId="2" type="noConversion"/>
  </si>
  <si>
    <t>华北</t>
  </si>
  <si>
    <t>华南</t>
  </si>
  <si>
    <t>东北</t>
  </si>
  <si>
    <t>西北</t>
  </si>
  <si>
    <t>西南</t>
  </si>
  <si>
    <t>同比去年</t>
    <phoneticPr fontId="2" type="noConversion"/>
  </si>
  <si>
    <t>华东</t>
  </si>
  <si>
    <t>销量</t>
    <phoneticPr fontId="2" type="noConversion"/>
  </si>
  <si>
    <t>1月</t>
    <phoneticPr fontId="2" type="noConversion"/>
  </si>
  <si>
    <t>2月</t>
    <phoneticPr fontId="2" type="noConversion"/>
  </si>
  <si>
    <t>3月</t>
    <phoneticPr fontId="2" type="noConversion"/>
  </si>
  <si>
    <t>4月</t>
  </si>
  <si>
    <t>5月</t>
  </si>
  <si>
    <t>6月</t>
  </si>
  <si>
    <t>月份</t>
    <phoneticPr fontId="2" type="noConversion"/>
  </si>
  <si>
    <t>月度销量</t>
    <phoneticPr fontId="2" type="noConversion"/>
  </si>
  <si>
    <t>季度销量</t>
    <phoneticPr fontId="2" type="noConversion"/>
  </si>
  <si>
    <t>7月</t>
    <phoneticPr fontId="2" type="noConversion"/>
  </si>
  <si>
    <t>8月</t>
  </si>
  <si>
    <t>9月</t>
  </si>
  <si>
    <t>10月</t>
  </si>
  <si>
    <t>11月</t>
  </si>
  <si>
    <t>12月</t>
  </si>
  <si>
    <t>完成率</t>
  </si>
  <si>
    <t>辅助</t>
  </si>
  <si>
    <t>区域</t>
    <phoneticPr fontId="2" type="noConversion"/>
  </si>
  <si>
    <t>未完成占比</t>
    <phoneticPr fontId="2" type="noConversion"/>
  </si>
  <si>
    <t>2022完成率</t>
    <phoneticPr fontId="2" type="noConversion"/>
  </si>
  <si>
    <t>2021完成率</t>
    <phoneticPr fontId="2" type="noConversion"/>
  </si>
  <si>
    <t>占位1</t>
    <phoneticPr fontId="2" type="noConversion"/>
  </si>
  <si>
    <t>占位2</t>
    <phoneticPr fontId="2" type="noConversion"/>
  </si>
  <si>
    <t>目标</t>
  </si>
  <si>
    <t>口红</t>
  </si>
  <si>
    <t>面膜</t>
  </si>
  <si>
    <t>隔离</t>
  </si>
  <si>
    <t>防晒</t>
  </si>
  <si>
    <t>精华</t>
  </si>
  <si>
    <t>面霜</t>
  </si>
  <si>
    <t>实际销量</t>
    <phoneticPr fontId="2" type="noConversion"/>
  </si>
  <si>
    <t>目标销量</t>
    <phoneticPr fontId="2" type="noConversion"/>
  </si>
  <si>
    <t>商品</t>
  </si>
  <si>
    <t>实际</t>
  </si>
  <si>
    <t>及格</t>
  </si>
  <si>
    <t>良好</t>
  </si>
  <si>
    <t>优秀</t>
  </si>
  <si>
    <t>指针</t>
    <phoneticPr fontId="2" type="noConversion"/>
  </si>
  <si>
    <t>指针数值</t>
    <phoneticPr fontId="2" type="noConversion"/>
  </si>
  <si>
    <t>作用</t>
    <phoneticPr fontId="2" type="noConversion"/>
  </si>
  <si>
    <t>大小</t>
    <phoneticPr fontId="2" type="noConversion"/>
  </si>
  <si>
    <t>刻度值</t>
    <phoneticPr fontId="2" type="noConversion"/>
  </si>
  <si>
    <t>仪表盘</t>
    <phoneticPr fontId="2" type="noConversion"/>
  </si>
  <si>
    <t>指针角度</t>
    <phoneticPr fontId="2" type="noConversion"/>
  </si>
  <si>
    <t>商品</t>
    <phoneticPr fontId="2" type="noConversion"/>
  </si>
  <si>
    <t>完成率</t>
    <phoneticPr fontId="2" type="noConversion"/>
  </si>
  <si>
    <t>[20,30)</t>
    <phoneticPr fontId="2" type="noConversion"/>
  </si>
  <si>
    <t>[30,40)</t>
    <phoneticPr fontId="2" type="noConversion"/>
  </si>
  <si>
    <t>[40,50)</t>
  </si>
  <si>
    <t>&gt;=50</t>
  </si>
  <si>
    <t>占比</t>
    <phoneticPr fontId="2" type="noConversion"/>
  </si>
  <si>
    <t>年龄</t>
    <phoneticPr fontId="2" type="noConversion"/>
  </si>
  <si>
    <t>销售部</t>
    <phoneticPr fontId="2" type="noConversion"/>
  </si>
  <si>
    <t>采购部</t>
    <phoneticPr fontId="2" type="noConversion"/>
  </si>
  <si>
    <t>工程部</t>
    <phoneticPr fontId="2" type="noConversion"/>
  </si>
  <si>
    <t>财务部</t>
    <phoneticPr fontId="2" type="noConversion"/>
  </si>
  <si>
    <t xml:space="preserve"> 行政部</t>
    <phoneticPr fontId="2" type="noConversion"/>
  </si>
  <si>
    <t>人力部</t>
    <phoneticPr fontId="2" type="noConversion"/>
  </si>
  <si>
    <t>人数</t>
    <phoneticPr fontId="2" type="noConversion"/>
  </si>
  <si>
    <t>部门</t>
    <phoneticPr fontId="2" type="noConversion"/>
  </si>
  <si>
    <t>占位6</t>
  </si>
  <si>
    <t>占位5</t>
    <phoneticPr fontId="2" type="noConversion"/>
  </si>
  <si>
    <t>占位4</t>
    <phoneticPr fontId="2" type="noConversion"/>
  </si>
  <si>
    <t>占位3</t>
    <phoneticPr fontId="2" type="noConversion"/>
  </si>
  <si>
    <t>人数占比</t>
    <phoneticPr fontId="2" type="noConversion"/>
  </si>
  <si>
    <t>2022销量</t>
    <phoneticPr fontId="2" type="noConversion"/>
  </si>
  <si>
    <t>2021销量</t>
    <phoneticPr fontId="2" type="noConversion"/>
  </si>
  <si>
    <t>[40,50)</t>
    <phoneticPr fontId="2" type="noConversion"/>
  </si>
  <si>
    <t>&gt;=50</t>
    <phoneticPr fontId="2" type="noConversion"/>
  </si>
</sst>
</file>

<file path=xl/styles.xml><?xml version="1.0" encoding="utf-8"?>
<styleSheet xmlns="http://schemas.openxmlformats.org/spreadsheetml/2006/main">
  <numFmts count="3">
    <numFmt numFmtId="176" formatCode="0_);[Red]\(0\)"/>
    <numFmt numFmtId="177" formatCode="m/d"/>
    <numFmt numFmtId="178" formatCode="0.0%"/>
  </numFmts>
  <fonts count="7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sz val="11"/>
      <color rgb="FF1A1E43"/>
      <name val="等线"/>
      <family val="2"/>
      <scheme val="minor"/>
    </font>
    <font>
      <b/>
      <sz val="9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1A1E43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29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/>
    <xf numFmtId="0" fontId="3" fillId="0" borderId="0" xfId="0" applyFont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9" fontId="4" fillId="0" borderId="0" xfId="1" applyFont="1" applyAlignment="1">
      <alignment horizontal="center" vertical="center"/>
    </xf>
    <xf numFmtId="9" fontId="4" fillId="0" borderId="0" xfId="1" applyFont="1" applyAlignment="1">
      <alignment horizontal="center"/>
    </xf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5" fillId="3" borderId="0" xfId="0" applyFont="1" applyFill="1"/>
    <xf numFmtId="0" fontId="5" fillId="3" borderId="0" xfId="0" applyFont="1" applyFill="1" applyAlignment="1">
      <alignment horizontal="center"/>
    </xf>
    <xf numFmtId="10" fontId="0" fillId="0" borderId="1" xfId="0" applyNumberFormat="1" applyBorder="1" applyAlignment="1">
      <alignment horizontal="center" vertical="center"/>
    </xf>
    <xf numFmtId="9" fontId="4" fillId="0" borderId="0" xfId="0" applyNumberFormat="1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178" fontId="4" fillId="0" borderId="0" xfId="1" applyNumberFormat="1" applyFont="1" applyAlignment="1">
      <alignment horizontal="center" vertical="center"/>
    </xf>
    <xf numFmtId="0" fontId="4" fillId="0" borderId="0" xfId="1" applyNumberFormat="1" applyFont="1" applyAlignment="1">
      <alignment horizontal="center" vertical="center"/>
    </xf>
    <xf numFmtId="0" fontId="4" fillId="0" borderId="0" xfId="1" applyNumberFormat="1" applyFont="1" applyFill="1" applyBorder="1" applyAlignment="1">
      <alignment horizontal="center" vertical="center"/>
    </xf>
    <xf numFmtId="10" fontId="4" fillId="0" borderId="0" xfId="1" applyNumberFormat="1" applyFont="1" applyAlignment="1">
      <alignment horizontal="center" vertical="center"/>
    </xf>
    <xf numFmtId="10" fontId="4" fillId="0" borderId="0" xfId="1" applyNumberFormat="1" applyFont="1" applyFill="1" applyBorder="1" applyAlignment="1">
      <alignment horizontal="center" vertical="center"/>
    </xf>
    <xf numFmtId="178" fontId="4" fillId="0" borderId="0" xfId="1" applyNumberFormat="1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</cellXfs>
  <cellStyles count="2">
    <cellStyle name="百分比" xfId="1" builtinId="5"/>
    <cellStyle name="常规" xfId="0" builtinId="0"/>
  </cellStyles>
  <dxfs count="0"/>
  <tableStyles count="1" defaultTableStyle="TableStyleMedium2" defaultPivotStyle="PivotStyleLight16">
    <tableStyle name="Invisible" pivot="0" table="0" count="0"/>
  </tableStyles>
  <colors>
    <mruColors>
      <color rgb="FF1A1E43"/>
      <color rgb="FFE74E69"/>
      <color rgb="FFF94C66"/>
      <color rgb="FFFFC54D"/>
      <color rgb="FFE9F3FF"/>
      <color rgb="FF82ADD7"/>
      <color rgb="FF95C0FF"/>
      <color rgb="FFBFDBFF"/>
      <color rgb="FF0E5DFF"/>
      <color rgb="FF0938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microsoft.com/office/2011/relationships/chartStyle" Target="style1.xml"/><Relationship Id="rId4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3" Type="http://schemas.microsoft.com/office/2011/relationships/chartStyle" Target="style2.xml"/><Relationship Id="rId2" Type="http://schemas.microsoft.com/office/2011/relationships/chartColorStyle" Target="colors2.xml"/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3" Type="http://schemas.microsoft.com/office/2011/relationships/chartStyle" Target="style3.xml"/><Relationship Id="rId2" Type="http://schemas.microsoft.com/office/2011/relationships/chartColorStyle" Target="colors3.xml"/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3" Type="http://schemas.microsoft.com/office/2011/relationships/chartStyle" Target="style4.xml"/><Relationship Id="rId2" Type="http://schemas.microsoft.com/office/2011/relationships/chartColorStyle" Target="colors4.xml"/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3" Type="http://schemas.microsoft.com/office/2011/relationships/chartStyle" Target="style5.xml"/><Relationship Id="rId2" Type="http://schemas.microsoft.com/office/2011/relationships/chartColorStyle" Target="colors5.xml"/><Relationship Id="rId1" Type="http://schemas.openxmlformats.org/officeDocument/2006/relationships/chartUserShapes" Target="../drawings/drawing10.xml"/></Relationships>
</file>

<file path=xl/charts/_rels/chart6.xml.rels><?xml version="1.0" encoding="UTF-8" standalone="yes"?>
<Relationships xmlns="http://schemas.openxmlformats.org/package/2006/relationships"><Relationship Id="rId3" Type="http://schemas.microsoft.com/office/2011/relationships/chartStyle" Target="style6.xml"/><Relationship Id="rId2" Type="http://schemas.microsoft.com/office/2011/relationships/chartColorStyle" Target="colors6.xml"/><Relationship Id="rId1" Type="http://schemas.openxmlformats.org/officeDocument/2006/relationships/chartUserShapes" Target="../drawings/drawing12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8.xml.rels><?xml version="1.0" encoding="UTF-8" standalone="yes"?>
<Relationships xmlns="http://schemas.openxmlformats.org/package/2006/relationships"><Relationship Id="rId3" Type="http://schemas.microsoft.com/office/2011/relationships/chartStyle" Target="style7.xml"/><Relationship Id="rId2" Type="http://schemas.microsoft.com/office/2011/relationships/chartColorStyle" Target="colors7.xml"/><Relationship Id="rId1" Type="http://schemas.openxmlformats.org/officeDocument/2006/relationships/chartUserShapes" Target="../drawings/drawing1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3" Type="http://schemas.microsoft.com/office/2011/relationships/chartStyle" Target="style9.xml"/><Relationship Id="rId2" Type="http://schemas.microsoft.com/office/2011/relationships/chartColorStyle" Target="colors9.xml"/><Relationship Id="rId1" Type="http://schemas.openxmlformats.org/officeDocument/2006/relationships/chartUserShapes" Target="../drawings/drawing1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3" Type="http://schemas.microsoft.com/office/2011/relationships/chartStyle" Target="style11.xml"/><Relationship Id="rId2" Type="http://schemas.microsoft.com/office/2011/relationships/chartColorStyle" Target="colors11.xml"/><Relationship Id="rId1" Type="http://schemas.openxmlformats.org/officeDocument/2006/relationships/chartUserShapes" Target="../drawings/drawing20.xml"/></Relationships>
</file>

<file path=xl/charts/_rels/chart13.xml.rels><?xml version="1.0" encoding="UTF-8" standalone="yes"?>
<Relationships xmlns="http://schemas.openxmlformats.org/package/2006/relationships"><Relationship Id="rId3" Type="http://schemas.microsoft.com/office/2011/relationships/chartStyle" Target="style12.xml"/><Relationship Id="rId2" Type="http://schemas.microsoft.com/office/2011/relationships/chartColorStyle" Target="colors12.xml"/><Relationship Id="rId1" Type="http://schemas.openxmlformats.org/officeDocument/2006/relationships/chartUserShapes" Target="../drawings/drawing22.xml"/></Relationships>
</file>

<file path=xl/charts/_rels/chart14.xml.rels><?xml version="1.0" encoding="UTF-8" standalone="yes"?>
<Relationships xmlns="http://schemas.openxmlformats.org/package/2006/relationships"><Relationship Id="rId3" Type="http://schemas.microsoft.com/office/2011/relationships/chartStyle" Target="style13.xml"/><Relationship Id="rId2" Type="http://schemas.microsoft.com/office/2011/relationships/chartColorStyle" Target="colors13.xml"/><Relationship Id="rId1" Type="http://schemas.openxmlformats.org/officeDocument/2006/relationships/chartUserShapes" Target="../drawings/drawing24.xml"/></Relationships>
</file>

<file path=xl/charts/_rels/chart15.xml.rels><?xml version="1.0" encoding="UTF-8" standalone="yes"?>
<Relationships xmlns="http://schemas.openxmlformats.org/package/2006/relationships"><Relationship Id="rId3" Type="http://schemas.microsoft.com/office/2011/relationships/chartStyle" Target="style14.xml"/><Relationship Id="rId2" Type="http://schemas.microsoft.com/office/2011/relationships/chartColorStyle" Target="colors14.xml"/><Relationship Id="rId1" Type="http://schemas.openxmlformats.org/officeDocument/2006/relationships/chartUserShapes" Target="../drawings/drawing26.xml"/></Relationships>
</file>

<file path=xl/charts/_rels/chart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image" Target="../media/image12.png"/><Relationship Id="rId7" Type="http://schemas.openxmlformats.org/officeDocument/2006/relationships/image" Target="../media/image6.png"/><Relationship Id="rId12" Type="http://schemas.openxmlformats.org/officeDocument/2006/relationships/image" Target="../media/image11.png"/><Relationship Id="rId2" Type="http://schemas.microsoft.com/office/2011/relationships/chartColorStyle" Target="colors15.xml"/><Relationship Id="rId1" Type="http://schemas.openxmlformats.org/officeDocument/2006/relationships/image" Target="../media/image3.png"/><Relationship Id="rId6" Type="http://schemas.openxmlformats.org/officeDocument/2006/relationships/image" Target="../media/image5.png"/><Relationship Id="rId11" Type="http://schemas.openxmlformats.org/officeDocument/2006/relationships/image" Target="../media/image10.png"/><Relationship Id="rId5" Type="http://schemas.openxmlformats.org/officeDocument/2006/relationships/image" Target="../media/image4.png"/><Relationship Id="rId15" Type="http://schemas.microsoft.com/office/2011/relationships/chartStyle" Target="style15.xml"/><Relationship Id="rId10" Type="http://schemas.openxmlformats.org/officeDocument/2006/relationships/image" Target="../media/image9.png"/><Relationship Id="rId4" Type="http://schemas.openxmlformats.org/officeDocument/2006/relationships/image" Target="../media/image4.svg"/><Relationship Id="rId9" Type="http://schemas.openxmlformats.org/officeDocument/2006/relationships/image" Target="../media/image8.png"/><Relationship Id="rId14" Type="http://schemas.openxmlformats.org/officeDocument/2006/relationships/chartUserShapes" Target="../drawings/drawing28.xml"/></Relationships>
</file>

<file path=xl/charts/_rels/chart17.xml.rels><?xml version="1.0" encoding="UTF-8" standalone="yes"?>
<Relationships xmlns="http://schemas.openxmlformats.org/package/2006/relationships"><Relationship Id="rId3" Type="http://schemas.microsoft.com/office/2011/relationships/chartStyle" Target="style16.xml"/><Relationship Id="rId2" Type="http://schemas.microsoft.com/office/2011/relationships/chartColorStyle" Target="colors16.xml"/><Relationship Id="rId1" Type="http://schemas.openxmlformats.org/officeDocument/2006/relationships/chartUserShapes" Target="../drawings/drawing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autoTitleDeleted val="1"/>
    <c:plotArea>
      <c:layout/>
      <c:barChart>
        <c:barDir val="col"/>
        <c:grouping val="clustered"/>
        <c:ser>
          <c:idx val="0"/>
          <c:order val="0"/>
          <c:tx>
            <c:strRef>
              <c:f>'16 波浪水球图 '!$B$3</c:f>
              <c:strCache>
                <c:ptCount val="1"/>
                <c:pt idx="0">
                  <c:v>完成率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Pt>
            <c:idx val="0"/>
            <c:spPr>
              <a:blipFill>
                <a:blip xmlns:r="http://schemas.openxmlformats.org/officeDocument/2006/relationships" r:embed="rId1"/>
                <a:stretch>
                  <a:fillRect/>
                </a:stretch>
              </a:blipFill>
              <a:ln>
                <a:noFill/>
              </a:ln>
              <a:effectLst/>
            </c:spPr>
            <c:pictureOptions>
              <c:pictureFormat val="stretch"/>
            </c:pictureOptions>
            <c:extLst xmlns:c16r2="http://schemas.microsoft.com/office/drawing/2015/06/chart">
              <c:ext xmlns:c16="http://schemas.microsoft.com/office/drawing/2014/chart" uri="{C3380CC4-5D6E-409C-BE32-E72D297353CC}">
                <c16:uniqueId val="{00000001-E6D1-4D22-AE5E-47332AE128A6}"/>
              </c:ext>
            </c:extLst>
          </c:dPt>
          <c:val>
            <c:numRef>
              <c:f>'16 波浪水球图 '!$B$4</c:f>
              <c:numCache>
                <c:formatCode>0%</c:formatCode>
                <c:ptCount val="1"/>
                <c:pt idx="0">
                  <c:v>0.65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E6D1-4D22-AE5E-47332AE128A6}"/>
            </c:ext>
          </c:extLst>
        </c:ser>
        <c:ser>
          <c:idx val="1"/>
          <c:order val="1"/>
          <c:tx>
            <c:strRef>
              <c:f>'16 波浪水球图 '!$C$3</c:f>
              <c:strCache>
                <c:ptCount val="1"/>
                <c:pt idx="0">
                  <c:v>占位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dPt>
            <c:idx val="0"/>
            <c:spPr>
              <a:blipFill>
                <a:blip xmlns:r="http://schemas.openxmlformats.org/officeDocument/2006/relationships" r:embed="rId2"/>
                <a:stretch>
                  <a:fillRect/>
                </a:stretch>
              </a:blip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E6D1-4D22-AE5E-47332AE128A6}"/>
              </c:ext>
            </c:extLst>
          </c:dPt>
          <c:val>
            <c:numRef>
              <c:f>'16 波浪水球图 '!$C$4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E6D1-4D22-AE5E-47332AE128A6}"/>
            </c:ext>
          </c:extLst>
        </c:ser>
        <c:dLbls/>
        <c:gapWidth val="0"/>
        <c:overlap val="100"/>
        <c:axId val="123103872"/>
        <c:axId val="123134336"/>
      </c:barChart>
      <c:catAx>
        <c:axId val="123103872"/>
        <c:scaling>
          <c:orientation val="minMax"/>
        </c:scaling>
        <c:delete val="1"/>
        <c:axPos val="b"/>
        <c:numFmt formatCode="General" sourceLinked="1"/>
        <c:majorTickMark val="none"/>
        <c:tickLblPos val="none"/>
        <c:crossAx val="123134336"/>
        <c:crosses val="autoZero"/>
        <c:auto val="1"/>
        <c:lblAlgn val="ctr"/>
        <c:lblOffset val="100"/>
      </c:catAx>
      <c:valAx>
        <c:axId val="123134336"/>
        <c:scaling>
          <c:orientation val="minMax"/>
          <c:max val="1"/>
        </c:scaling>
        <c:delete val="1"/>
        <c:axPos val="l"/>
        <c:numFmt formatCode="0%" sourceLinked="1"/>
        <c:majorTickMark val="none"/>
        <c:tickLblPos val="none"/>
        <c:crossAx val="123103872"/>
        <c:crosses val="autoZero"/>
        <c:crossBetween val="between"/>
      </c:valAx>
      <c:spPr>
        <a:solidFill>
          <a:srgbClr val="1A1E43"/>
        </a:solidFill>
        <a:ln>
          <a:noFill/>
        </a:ln>
        <a:effectLst/>
      </c:spPr>
    </c:plotArea>
    <c:plotVisOnly val="1"/>
    <c:dispBlanksAs val="gap"/>
  </c:chart>
  <c:spPr>
    <a:solidFill>
      <a:srgbClr val="1A1E43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autoTitleDeleted val="1"/>
    <c:plotArea>
      <c:layout>
        <c:manualLayout>
          <c:layoutTarget val="inner"/>
          <c:xMode val="edge"/>
          <c:yMode val="edge"/>
          <c:x val="0.2855965338891463"/>
          <c:y val="0.27528400507828482"/>
          <c:w val="0.4386108537903351"/>
          <c:h val="0.6141681768384597"/>
        </c:manualLayout>
      </c:layout>
      <c:doughnutChart>
        <c:varyColors val="1"/>
        <c:ser>
          <c:idx val="0"/>
          <c:order val="0"/>
          <c:tx>
            <c:strRef>
              <c:f>'17 玉玦图'!$B$3</c:f>
              <c:strCache>
                <c:ptCount val="1"/>
                <c:pt idx="0">
                  <c:v>&gt;=50</c:v>
                </c:pt>
              </c:strCache>
            </c:strRef>
          </c:tx>
          <c:spPr>
            <a:ln>
              <a:solidFill>
                <a:srgbClr val="1A1E43"/>
              </a:solidFill>
            </a:ln>
          </c:spPr>
          <c:dPt>
            <c:idx val="0"/>
            <c:spPr>
              <a:solidFill>
                <a:srgbClr val="37A2DA"/>
              </a:solidFill>
              <a:ln w="19050">
                <a:solidFill>
                  <a:srgbClr val="1A1E43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0FA-48F3-95EF-726161AE4DC9}"/>
              </c:ext>
            </c:extLst>
          </c:dPt>
          <c:dPt>
            <c:idx val="1"/>
            <c:spPr>
              <a:noFill/>
              <a:ln w="19050">
                <a:solidFill>
                  <a:srgbClr val="1A1E43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0FA-48F3-95EF-726161AE4DC9}"/>
              </c:ext>
            </c:extLst>
          </c:dPt>
          <c:dLbls>
            <c:dLbl>
              <c:idx val="0"/>
              <c:layout>
                <c:manualLayout>
                  <c:x val="1.8557395399104525E-2"/>
                  <c:y val="0.11931266960720026"/>
                </c:manualLayout>
              </c:layout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0FA-48F3-95EF-726161AE4DC9}"/>
                </c:ext>
              </c:extLst>
            </c:dLbl>
            <c:dLbl>
              <c:idx val="1"/>
              <c:layout>
                <c:manualLayout>
                  <c:x val="-0.12780106530801294"/>
                  <c:y val="-0.13283881850428411"/>
                </c:manualLayout>
              </c:layout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0FA-48F3-95EF-726161AE4D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'17 玉玦图'!$C$2:$D$2</c:f>
              <c:strCache>
                <c:ptCount val="2"/>
                <c:pt idx="0">
                  <c:v>占比</c:v>
                </c:pt>
                <c:pt idx="1">
                  <c:v>占位</c:v>
                </c:pt>
              </c:strCache>
            </c:strRef>
          </c:cat>
          <c:val>
            <c:numRef>
              <c:f>'17 玉玦图'!$C$3:$D$3</c:f>
              <c:numCache>
                <c:formatCode>0.0%</c:formatCode>
                <c:ptCount val="2"/>
                <c:pt idx="0">
                  <c:v>0.125</c:v>
                </c:pt>
                <c:pt idx="1">
                  <c:v>0.375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40FA-48F3-95EF-726161AE4DC9}"/>
            </c:ext>
          </c:extLst>
        </c:ser>
        <c:ser>
          <c:idx val="1"/>
          <c:order val="1"/>
          <c:tx>
            <c:strRef>
              <c:f>'17 玉玦图'!$B$4</c:f>
              <c:strCache>
                <c:ptCount val="1"/>
                <c:pt idx="0">
                  <c:v>[40,50)</c:v>
                </c:pt>
              </c:strCache>
            </c:strRef>
          </c:tx>
          <c:spPr>
            <a:ln>
              <a:solidFill>
                <a:srgbClr val="1A1E43"/>
              </a:solidFill>
            </a:ln>
          </c:spPr>
          <c:dPt>
            <c:idx val="0"/>
            <c:spPr>
              <a:solidFill>
                <a:srgbClr val="11A7AD"/>
              </a:solidFill>
              <a:ln w="19050">
                <a:solidFill>
                  <a:srgbClr val="1A1E43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6-40FA-48F3-95EF-726161AE4DC9}"/>
              </c:ext>
            </c:extLst>
          </c:dPt>
          <c:dPt>
            <c:idx val="1"/>
            <c:spPr>
              <a:noFill/>
              <a:ln w="19050">
                <a:solidFill>
                  <a:srgbClr val="1A1E43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40FA-48F3-95EF-726161AE4DC9}"/>
              </c:ext>
            </c:extLst>
          </c:dPt>
          <c:dLbls>
            <c:dLbl>
              <c:idx val="0"/>
              <c:layout>
                <c:manualLayout>
                  <c:x val="-8.9635826771653576E-2"/>
                  <c:y val="0.21298610822108149"/>
                </c:manualLayout>
              </c:layout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0FA-48F3-95EF-726161AE4DC9}"/>
                </c:ext>
              </c:extLst>
            </c:dLbl>
            <c:dLbl>
              <c:idx val="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0FA-48F3-95EF-726161AE4D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'17 玉玦图'!$C$2:$D$2</c:f>
              <c:strCache>
                <c:ptCount val="2"/>
                <c:pt idx="0">
                  <c:v>占比</c:v>
                </c:pt>
                <c:pt idx="1">
                  <c:v>占位</c:v>
                </c:pt>
              </c:strCache>
            </c:strRef>
          </c:cat>
          <c:val>
            <c:numRef>
              <c:f>'17 玉玦图'!$C$4:$D$4</c:f>
              <c:numCache>
                <c:formatCode>0.0%</c:formatCode>
                <c:ptCount val="2"/>
                <c:pt idx="0">
                  <c:v>0.20833333333333334</c:v>
                </c:pt>
                <c:pt idx="1">
                  <c:v>0.29166666666666663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40FA-48F3-95EF-726161AE4DC9}"/>
            </c:ext>
          </c:extLst>
        </c:ser>
        <c:ser>
          <c:idx val="2"/>
          <c:order val="2"/>
          <c:tx>
            <c:strRef>
              <c:f>'17 玉玦图'!$B$5</c:f>
              <c:strCache>
                <c:ptCount val="1"/>
                <c:pt idx="0">
                  <c:v>[30,40)</c:v>
                </c:pt>
              </c:strCache>
            </c:strRef>
          </c:tx>
          <c:spPr>
            <a:ln>
              <a:solidFill>
                <a:srgbClr val="1A1E43"/>
              </a:solidFill>
            </a:ln>
          </c:spPr>
          <c:dPt>
            <c:idx val="0"/>
            <c:spPr>
              <a:solidFill>
                <a:srgbClr val="F5C353"/>
              </a:solidFill>
              <a:ln w="19050">
                <a:solidFill>
                  <a:srgbClr val="1A1E43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40FA-48F3-95EF-726161AE4DC9}"/>
              </c:ext>
            </c:extLst>
          </c:dPt>
          <c:dPt>
            <c:idx val="1"/>
            <c:spPr>
              <a:noFill/>
              <a:ln w="19050">
                <a:solidFill>
                  <a:srgbClr val="1A1E43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40FA-48F3-95EF-726161AE4DC9}"/>
              </c:ext>
            </c:extLst>
          </c:dPt>
          <c:dLbls>
            <c:dLbl>
              <c:idx val="0"/>
              <c:layout>
                <c:manualLayout>
                  <c:x val="-0.25385151304616344"/>
                  <c:y val="0.10719958751096487"/>
                </c:manualLayout>
              </c:layout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0FA-48F3-95EF-726161AE4DC9}"/>
                </c:ext>
              </c:extLst>
            </c:dLbl>
            <c:dLbl>
              <c:idx val="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0FA-48F3-95EF-726161AE4D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'17 玉玦图'!$C$2:$D$2</c:f>
              <c:strCache>
                <c:ptCount val="2"/>
                <c:pt idx="0">
                  <c:v>占比</c:v>
                </c:pt>
                <c:pt idx="1">
                  <c:v>占位</c:v>
                </c:pt>
              </c:strCache>
            </c:strRef>
          </c:cat>
          <c:val>
            <c:numRef>
              <c:f>'17 玉玦图'!$C$5:$D$5</c:f>
              <c:numCache>
                <c:formatCode>0.0%</c:formatCode>
                <c:ptCount val="2"/>
                <c:pt idx="0">
                  <c:v>0.29166666666666669</c:v>
                </c:pt>
                <c:pt idx="1">
                  <c:v>0.20833333333333331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E-40FA-48F3-95EF-726161AE4DC9}"/>
            </c:ext>
          </c:extLst>
        </c:ser>
        <c:ser>
          <c:idx val="3"/>
          <c:order val="3"/>
          <c:tx>
            <c:strRef>
              <c:f>'17 玉玦图'!$B$6</c:f>
              <c:strCache>
                <c:ptCount val="1"/>
                <c:pt idx="0">
                  <c:v>[20,30)</c:v>
                </c:pt>
              </c:strCache>
            </c:strRef>
          </c:tx>
          <c:spPr>
            <a:ln>
              <a:solidFill>
                <a:srgbClr val="1A1E43"/>
              </a:solidFill>
            </a:ln>
          </c:spPr>
          <c:dPt>
            <c:idx val="0"/>
            <c:spPr>
              <a:solidFill>
                <a:srgbClr val="E74E69"/>
              </a:solidFill>
              <a:ln w="19050">
                <a:solidFill>
                  <a:srgbClr val="1A1E43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0-40FA-48F3-95EF-726161AE4DC9}"/>
              </c:ext>
            </c:extLst>
          </c:dPt>
          <c:dPt>
            <c:idx val="1"/>
            <c:spPr>
              <a:noFill/>
              <a:ln w="19050">
                <a:solidFill>
                  <a:srgbClr val="1A1E43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2-40FA-48F3-95EF-726161AE4DC9}"/>
              </c:ext>
            </c:extLst>
          </c:dPt>
          <c:dLbls>
            <c:delete val="1"/>
          </c:dLbls>
          <c:cat>
            <c:strRef>
              <c:f>'17 玉玦图'!$C$2:$D$2</c:f>
              <c:strCache>
                <c:ptCount val="2"/>
                <c:pt idx="0">
                  <c:v>占比</c:v>
                </c:pt>
                <c:pt idx="1">
                  <c:v>占位</c:v>
                </c:pt>
              </c:strCache>
            </c:strRef>
          </c:cat>
          <c:val>
            <c:numRef>
              <c:f>'17 玉玦图'!$C$6:$D$6</c:f>
              <c:numCache>
                <c:formatCode>0.0%</c:formatCode>
                <c:ptCount val="2"/>
                <c:pt idx="0">
                  <c:v>0.375</c:v>
                </c:pt>
                <c:pt idx="1">
                  <c:v>0.125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3-40FA-48F3-95EF-726161AE4DC9}"/>
            </c:ext>
          </c:extLst>
        </c:ser>
        <c:dLbls>
          <c:showVal val="1"/>
        </c:dLbls>
        <c:firstSliceAng val="0"/>
        <c:holeSize val="35"/>
      </c:doughnut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A1E43"/>
    </a:solidFill>
    <a:ln w="12700" cap="flat" cmpd="sng" algn="ctr">
      <a:solidFill>
        <a:srgbClr val="1A1E43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autoTitleDeleted val="1"/>
    <c:plotArea>
      <c:layout>
        <c:manualLayout>
          <c:layoutTarget val="inner"/>
          <c:xMode val="edge"/>
          <c:yMode val="edge"/>
          <c:x val="0.20435058669136946"/>
          <c:y val="0.24570024570024576"/>
          <c:w val="0.49080882352941191"/>
          <c:h val="0.65601965601965628"/>
        </c:manualLayout>
      </c:layout>
      <c:doughnutChart>
        <c:varyColors val="1"/>
        <c:ser>
          <c:idx val="0"/>
          <c:order val="0"/>
          <c:tx>
            <c:strRef>
              <c:f>'18 跑道图'!$B$3</c:f>
              <c:strCache>
                <c:ptCount val="1"/>
                <c:pt idx="0">
                  <c:v>人力部</c:v>
                </c:pt>
              </c:strCache>
            </c:strRef>
          </c:tx>
          <c:spPr>
            <a:ln w="38100">
              <a:solidFill>
                <a:srgbClr val="1A1E43"/>
              </a:solidFill>
            </a:ln>
          </c:spPr>
          <c:dPt>
            <c:idx val="0"/>
            <c:spPr>
              <a:solidFill>
                <a:srgbClr val="7030A0"/>
              </a:solidFill>
              <a:ln w="38100">
                <a:solidFill>
                  <a:srgbClr val="1A1E43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34A-4A51-A134-02D275CA6DC5}"/>
              </c:ext>
            </c:extLst>
          </c:dPt>
          <c:dPt>
            <c:idx val="1"/>
            <c:spPr>
              <a:noFill/>
              <a:ln w="38100">
                <a:solidFill>
                  <a:srgbClr val="1A1E43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B34A-4A51-A134-02D275CA6DC5}"/>
              </c:ext>
            </c:extLst>
          </c:dPt>
          <c:cat>
            <c:strRef>
              <c:f>'18 跑道图'!$C$2:$D$2</c:f>
              <c:strCache>
                <c:ptCount val="2"/>
                <c:pt idx="0">
                  <c:v>人数</c:v>
                </c:pt>
                <c:pt idx="1">
                  <c:v>占位</c:v>
                </c:pt>
              </c:strCache>
            </c:strRef>
          </c:cat>
          <c:val>
            <c:numRef>
              <c:f>'18 跑道图'!$C$3:$D$3</c:f>
              <c:numCache>
                <c:formatCode>General</c:formatCode>
                <c:ptCount val="2"/>
                <c:pt idx="0">
                  <c:v>130</c:v>
                </c:pt>
                <c:pt idx="1">
                  <c:v>702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B34A-4A51-A134-02D275CA6DC5}"/>
            </c:ext>
          </c:extLst>
        </c:ser>
        <c:ser>
          <c:idx val="1"/>
          <c:order val="1"/>
          <c:tx>
            <c:strRef>
              <c:f>'18 跑道图'!$B$4</c:f>
              <c:strCache>
                <c:ptCount val="1"/>
                <c:pt idx="0">
                  <c:v> 行政部</c:v>
                </c:pt>
              </c:strCache>
            </c:strRef>
          </c:tx>
          <c:spPr>
            <a:ln w="38100">
              <a:solidFill>
                <a:srgbClr val="1A1E43"/>
              </a:solidFill>
            </a:ln>
          </c:spPr>
          <c:dPt>
            <c:idx val="0"/>
            <c:spPr>
              <a:solidFill>
                <a:srgbClr val="0070C0"/>
              </a:solidFill>
              <a:ln w="38100">
                <a:solidFill>
                  <a:srgbClr val="1A1E43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6-B34A-4A51-A134-02D275CA6DC5}"/>
              </c:ext>
            </c:extLst>
          </c:dPt>
          <c:dPt>
            <c:idx val="1"/>
            <c:spPr>
              <a:noFill/>
              <a:ln w="38100">
                <a:solidFill>
                  <a:srgbClr val="1A1E43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B34A-4A51-A134-02D275CA6DC5}"/>
              </c:ext>
            </c:extLst>
          </c:dPt>
          <c:cat>
            <c:strRef>
              <c:f>'18 跑道图'!$C$2:$D$2</c:f>
              <c:strCache>
                <c:ptCount val="2"/>
                <c:pt idx="0">
                  <c:v>人数</c:v>
                </c:pt>
                <c:pt idx="1">
                  <c:v>占位</c:v>
                </c:pt>
              </c:strCache>
            </c:strRef>
          </c:cat>
          <c:val>
            <c:numRef>
              <c:f>'18 跑道图'!$C$4:$D$4</c:f>
              <c:numCache>
                <c:formatCode>General</c:formatCode>
                <c:ptCount val="2"/>
                <c:pt idx="0">
                  <c:v>226</c:v>
                </c:pt>
                <c:pt idx="1">
                  <c:v>606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B34A-4A51-A134-02D275CA6DC5}"/>
            </c:ext>
          </c:extLst>
        </c:ser>
        <c:ser>
          <c:idx val="2"/>
          <c:order val="2"/>
          <c:tx>
            <c:strRef>
              <c:f>'18 跑道图'!$B$5</c:f>
              <c:strCache>
                <c:ptCount val="1"/>
                <c:pt idx="0">
                  <c:v>财务部</c:v>
                </c:pt>
              </c:strCache>
            </c:strRef>
          </c:tx>
          <c:spPr>
            <a:ln w="38100">
              <a:solidFill>
                <a:srgbClr val="1A1E43"/>
              </a:solidFill>
            </a:ln>
          </c:spPr>
          <c:dPt>
            <c:idx val="0"/>
            <c:spPr>
              <a:solidFill>
                <a:srgbClr val="37A2DA"/>
              </a:solidFill>
              <a:ln w="38100">
                <a:solidFill>
                  <a:srgbClr val="1A1E43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B34A-4A51-A134-02D275CA6DC5}"/>
              </c:ext>
            </c:extLst>
          </c:dPt>
          <c:dPt>
            <c:idx val="1"/>
            <c:spPr>
              <a:noFill/>
              <a:ln w="38100">
                <a:solidFill>
                  <a:srgbClr val="1A1E43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B34A-4A51-A134-02D275CA6DC5}"/>
              </c:ext>
            </c:extLst>
          </c:dPt>
          <c:cat>
            <c:strRef>
              <c:f>'18 跑道图'!$C$2:$D$2</c:f>
              <c:strCache>
                <c:ptCount val="2"/>
                <c:pt idx="0">
                  <c:v>人数</c:v>
                </c:pt>
                <c:pt idx="1">
                  <c:v>占位</c:v>
                </c:pt>
              </c:strCache>
            </c:strRef>
          </c:cat>
          <c:val>
            <c:numRef>
              <c:f>'18 跑道图'!$C$5:$D$5</c:f>
              <c:numCache>
                <c:formatCode>General</c:formatCode>
                <c:ptCount val="2"/>
                <c:pt idx="0">
                  <c:v>238</c:v>
                </c:pt>
                <c:pt idx="1">
                  <c:v>594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E-B34A-4A51-A134-02D275CA6DC5}"/>
            </c:ext>
          </c:extLst>
        </c:ser>
        <c:ser>
          <c:idx val="3"/>
          <c:order val="3"/>
          <c:tx>
            <c:strRef>
              <c:f>'18 跑道图'!$B$6</c:f>
              <c:strCache>
                <c:ptCount val="1"/>
                <c:pt idx="0">
                  <c:v>工程部</c:v>
                </c:pt>
              </c:strCache>
            </c:strRef>
          </c:tx>
          <c:spPr>
            <a:ln w="38100">
              <a:solidFill>
                <a:srgbClr val="1A1E43"/>
              </a:solidFill>
            </a:ln>
          </c:spPr>
          <c:dPt>
            <c:idx val="0"/>
            <c:spPr>
              <a:solidFill>
                <a:srgbClr val="11A7AD"/>
              </a:solidFill>
              <a:ln w="38100">
                <a:solidFill>
                  <a:srgbClr val="1A1E43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0-B34A-4A51-A134-02D275CA6DC5}"/>
              </c:ext>
            </c:extLst>
          </c:dPt>
          <c:dPt>
            <c:idx val="1"/>
            <c:spPr>
              <a:noFill/>
              <a:ln w="38100">
                <a:solidFill>
                  <a:srgbClr val="1A1E43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2-B34A-4A51-A134-02D275CA6DC5}"/>
              </c:ext>
            </c:extLst>
          </c:dPt>
          <c:cat>
            <c:strRef>
              <c:f>'18 跑道图'!$C$2:$D$2</c:f>
              <c:strCache>
                <c:ptCount val="2"/>
                <c:pt idx="0">
                  <c:v>人数</c:v>
                </c:pt>
                <c:pt idx="1">
                  <c:v>占位</c:v>
                </c:pt>
              </c:strCache>
            </c:strRef>
          </c:cat>
          <c:val>
            <c:numRef>
              <c:f>'18 跑道图'!$C$6:$D$6</c:f>
              <c:numCache>
                <c:formatCode>General</c:formatCode>
                <c:ptCount val="2"/>
                <c:pt idx="0">
                  <c:v>293</c:v>
                </c:pt>
                <c:pt idx="1">
                  <c:v>539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3-B34A-4A51-A134-02D275CA6DC5}"/>
            </c:ext>
          </c:extLst>
        </c:ser>
        <c:ser>
          <c:idx val="4"/>
          <c:order val="4"/>
          <c:tx>
            <c:strRef>
              <c:f>'18 跑道图'!$B$7</c:f>
              <c:strCache>
                <c:ptCount val="1"/>
                <c:pt idx="0">
                  <c:v>采购部</c:v>
                </c:pt>
              </c:strCache>
            </c:strRef>
          </c:tx>
          <c:spPr>
            <a:ln w="38100">
              <a:solidFill>
                <a:srgbClr val="1A1E43"/>
              </a:solidFill>
            </a:ln>
          </c:spPr>
          <c:dPt>
            <c:idx val="0"/>
            <c:spPr>
              <a:solidFill>
                <a:srgbClr val="F5C353"/>
              </a:solidFill>
              <a:ln w="38100">
                <a:solidFill>
                  <a:srgbClr val="1A1E43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B34A-4A51-A134-02D275CA6DC5}"/>
              </c:ext>
            </c:extLst>
          </c:dPt>
          <c:dPt>
            <c:idx val="1"/>
            <c:spPr>
              <a:noFill/>
              <a:ln w="38100">
                <a:solidFill>
                  <a:srgbClr val="1A1E43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B34A-4A51-A134-02D275CA6DC5}"/>
              </c:ext>
            </c:extLst>
          </c:dPt>
          <c:cat>
            <c:strRef>
              <c:f>'18 跑道图'!$C$2:$D$2</c:f>
              <c:strCache>
                <c:ptCount val="2"/>
                <c:pt idx="0">
                  <c:v>人数</c:v>
                </c:pt>
                <c:pt idx="1">
                  <c:v>占位</c:v>
                </c:pt>
              </c:strCache>
            </c:strRef>
          </c:cat>
          <c:val>
            <c:numRef>
              <c:f>'18 跑道图'!$C$7:$D$7</c:f>
              <c:numCache>
                <c:formatCode>General</c:formatCode>
                <c:ptCount val="2"/>
                <c:pt idx="0">
                  <c:v>326</c:v>
                </c:pt>
                <c:pt idx="1">
                  <c:v>506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B34A-4A51-A134-02D275CA6DC5}"/>
            </c:ext>
          </c:extLst>
        </c:ser>
        <c:ser>
          <c:idx val="5"/>
          <c:order val="5"/>
          <c:tx>
            <c:strRef>
              <c:f>'18 跑道图'!$B$8</c:f>
              <c:strCache>
                <c:ptCount val="1"/>
                <c:pt idx="0">
                  <c:v>销售部</c:v>
                </c:pt>
              </c:strCache>
            </c:strRef>
          </c:tx>
          <c:spPr>
            <a:ln w="38100">
              <a:solidFill>
                <a:srgbClr val="1A1E43"/>
              </a:solidFill>
            </a:ln>
          </c:spPr>
          <c:dPt>
            <c:idx val="0"/>
            <c:spPr>
              <a:solidFill>
                <a:srgbClr val="E74E69"/>
              </a:solidFill>
              <a:ln w="38100">
                <a:solidFill>
                  <a:srgbClr val="1A1E43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A-B34A-4A51-A134-02D275CA6DC5}"/>
              </c:ext>
            </c:extLst>
          </c:dPt>
          <c:dPt>
            <c:idx val="1"/>
            <c:spPr>
              <a:noFill/>
              <a:ln w="38100">
                <a:solidFill>
                  <a:srgbClr val="1A1E43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C-B34A-4A51-A134-02D275CA6DC5}"/>
              </c:ext>
            </c:extLst>
          </c:dPt>
          <c:cat>
            <c:strRef>
              <c:f>'18 跑道图'!$C$2:$D$2</c:f>
              <c:strCache>
                <c:ptCount val="2"/>
                <c:pt idx="0">
                  <c:v>人数</c:v>
                </c:pt>
                <c:pt idx="1">
                  <c:v>占位</c:v>
                </c:pt>
              </c:strCache>
            </c:strRef>
          </c:cat>
          <c:val>
            <c:numRef>
              <c:f>'18 跑道图'!$C$8:$D$8</c:f>
              <c:numCache>
                <c:formatCode>General</c:formatCode>
                <c:ptCount val="2"/>
                <c:pt idx="0">
                  <c:v>451</c:v>
                </c:pt>
                <c:pt idx="1">
                  <c:v>381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D-B34A-4A51-A134-02D275CA6DC5}"/>
            </c:ext>
          </c:extLst>
        </c:ser>
        <c:dLbls/>
        <c:firstSliceAng val="0"/>
        <c:holeSize val="45"/>
      </c:doughnut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A1E43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autoTitleDeleted val="1"/>
    <c:plotArea>
      <c:layout>
        <c:manualLayout>
          <c:layoutTarget val="inner"/>
          <c:xMode val="edge"/>
          <c:yMode val="edge"/>
          <c:x val="0.23621333178940876"/>
          <c:y val="0.23914823914823921"/>
          <c:w val="0.52267156862745101"/>
          <c:h val="0.69860769860769878"/>
        </c:manualLayout>
      </c:layout>
      <c:pieChart>
        <c:varyColors val="1"/>
        <c:ser>
          <c:idx val="0"/>
          <c:order val="0"/>
          <c:tx>
            <c:strRef>
              <c:f>'19 南丁格尔圆饼图'!$C$2</c:f>
              <c:strCache>
                <c:ptCount val="1"/>
                <c:pt idx="0">
                  <c:v>人数占比</c:v>
                </c:pt>
              </c:strCache>
            </c:strRef>
          </c:tx>
          <c:spPr>
            <a:ln>
              <a:noFill/>
            </a:ln>
          </c:spPr>
          <c:dPt>
            <c:idx val="0"/>
            <c:spPr>
              <a:solidFill>
                <a:srgbClr val="E74E69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E7AE-4962-8E96-7E8BF83F204C}"/>
              </c:ext>
            </c:extLst>
          </c:dPt>
          <c:dPt>
            <c:idx val="1"/>
            <c:spPr>
              <a:solidFill>
                <a:srgbClr val="F5C353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E7AE-4962-8E96-7E8BF83F204C}"/>
              </c:ext>
            </c:extLst>
          </c:dPt>
          <c:dPt>
            <c:idx val="2"/>
            <c:spPr>
              <a:solidFill>
                <a:srgbClr val="11A7AD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E7AE-4962-8E96-7E8BF83F204C}"/>
              </c:ext>
            </c:extLst>
          </c:dPt>
          <c:dPt>
            <c:idx val="3"/>
            <c:spPr>
              <a:solidFill>
                <a:srgbClr val="0070C0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E7AE-4962-8E96-7E8BF83F204C}"/>
              </c:ext>
            </c:extLst>
          </c:dPt>
          <c:dPt>
            <c:idx val="4"/>
            <c:spPr>
              <a:solidFill>
                <a:srgbClr val="37A2DA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E7AE-4962-8E96-7E8BF83F204C}"/>
              </c:ext>
            </c:extLst>
          </c:dPt>
          <c:dPt>
            <c:idx val="5"/>
            <c:spPr>
              <a:solidFill>
                <a:srgbClr val="7030A0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E7AE-4962-8E96-7E8BF83F204C}"/>
              </c:ext>
            </c:extLst>
          </c:dPt>
          <c:cat>
            <c:strRef>
              <c:f>'19 南丁格尔圆饼图'!$B$3:$B$8</c:f>
              <c:strCache>
                <c:ptCount val="6"/>
                <c:pt idx="0">
                  <c:v>销售部</c:v>
                </c:pt>
                <c:pt idx="1">
                  <c:v>采购部</c:v>
                </c:pt>
                <c:pt idx="2">
                  <c:v>工程部</c:v>
                </c:pt>
                <c:pt idx="3">
                  <c:v>财务部</c:v>
                </c:pt>
                <c:pt idx="4">
                  <c:v> 行政部</c:v>
                </c:pt>
                <c:pt idx="5">
                  <c:v>人力部</c:v>
                </c:pt>
              </c:strCache>
            </c:strRef>
          </c:cat>
          <c:val>
            <c:numRef>
              <c:f>'19 南丁格尔圆饼图'!$C$3:$C$8</c:f>
              <c:numCache>
                <c:formatCode>0.0%</c:formatCode>
                <c:ptCount val="6"/>
                <c:pt idx="0">
                  <c:v>0.29199999999999998</c:v>
                </c:pt>
                <c:pt idx="1">
                  <c:v>0.22700000000000001</c:v>
                </c:pt>
                <c:pt idx="2">
                  <c:v>0.17499999999999999</c:v>
                </c:pt>
                <c:pt idx="3">
                  <c:v>0.13600000000000001</c:v>
                </c:pt>
                <c:pt idx="4">
                  <c:v>0.10299999999999999</c:v>
                </c:pt>
                <c:pt idx="5">
                  <c:v>6.7000000000000004E-2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E7AE-4962-8E96-7E8BF83F204C}"/>
            </c:ext>
          </c:extLst>
        </c:ser>
        <c:ser>
          <c:idx val="1"/>
          <c:order val="1"/>
          <c:tx>
            <c:strRef>
              <c:f>'19 南丁格尔圆饼图'!$D$2</c:f>
              <c:strCache>
                <c:ptCount val="1"/>
                <c:pt idx="0">
                  <c:v>占位1</c:v>
                </c:pt>
              </c:strCache>
            </c:strRef>
          </c:tx>
          <c:spPr>
            <a:ln>
              <a:noFill/>
            </a:ln>
          </c:spPr>
          <c:dPt>
            <c:idx val="0"/>
            <c:spPr>
              <a:solidFill>
                <a:srgbClr val="E74E69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E-E7AE-4962-8E96-7E8BF83F204C}"/>
              </c:ext>
            </c:extLst>
          </c:dPt>
          <c:dPt>
            <c:idx val="1"/>
            <c:spPr>
              <a:solidFill>
                <a:srgbClr val="F5C353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0-E7AE-4962-8E96-7E8BF83F204C}"/>
              </c:ext>
            </c:extLst>
          </c:dPt>
          <c:dPt>
            <c:idx val="2"/>
            <c:spPr>
              <a:solidFill>
                <a:srgbClr val="11A7AD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2-E7AE-4962-8E96-7E8BF83F204C}"/>
              </c:ext>
            </c:extLst>
          </c:dPt>
          <c:dPt>
            <c:idx val="3"/>
            <c:spPr>
              <a:solidFill>
                <a:srgbClr val="0070C0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4-E7AE-4962-8E96-7E8BF83F204C}"/>
              </c:ext>
            </c:extLst>
          </c:dPt>
          <c:dPt>
            <c:idx val="4"/>
            <c:spPr>
              <a:solidFill>
                <a:srgbClr val="37A2DA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6-E7AE-4962-8E96-7E8BF83F204C}"/>
              </c:ext>
            </c:extLst>
          </c:dPt>
          <c:dPt>
            <c:idx val="5"/>
            <c:spPr>
              <a:solidFill>
                <a:srgbClr val="7030A0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8-E7AE-4962-8E96-7E8BF83F204C}"/>
              </c:ext>
            </c:extLst>
          </c:dPt>
          <c:cat>
            <c:strRef>
              <c:f>'19 南丁格尔圆饼图'!$B$3:$B$8</c:f>
              <c:strCache>
                <c:ptCount val="6"/>
                <c:pt idx="0">
                  <c:v>销售部</c:v>
                </c:pt>
                <c:pt idx="1">
                  <c:v>采购部</c:v>
                </c:pt>
                <c:pt idx="2">
                  <c:v>工程部</c:v>
                </c:pt>
                <c:pt idx="3">
                  <c:v>财务部</c:v>
                </c:pt>
                <c:pt idx="4">
                  <c:v> 行政部</c:v>
                </c:pt>
                <c:pt idx="5">
                  <c:v>人力部</c:v>
                </c:pt>
              </c:strCache>
            </c:strRef>
          </c:cat>
          <c:val>
            <c:numRef>
              <c:f>'19 南丁格尔圆饼图'!$D$3:$D$8</c:f>
              <c:numCache>
                <c:formatCode>0.0%</c:formatCode>
                <c:ptCount val="6"/>
                <c:pt idx="0">
                  <c:v>0.29199999999999998</c:v>
                </c:pt>
                <c:pt idx="1">
                  <c:v>0.22700000000000001</c:v>
                </c:pt>
                <c:pt idx="2">
                  <c:v>0.17499999999999999</c:v>
                </c:pt>
                <c:pt idx="3">
                  <c:v>0.13600000000000001</c:v>
                </c:pt>
                <c:pt idx="4">
                  <c:v>0.10299999999999999</c:v>
                </c:pt>
                <c:pt idx="5">
                  <c:v>6.7000000000000004E-2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9-E7AE-4962-8E96-7E8BF83F204C}"/>
            </c:ext>
          </c:extLst>
        </c:ser>
        <c:ser>
          <c:idx val="2"/>
          <c:order val="2"/>
          <c:tx>
            <c:strRef>
              <c:f>'19 南丁格尔圆饼图'!$E$2</c:f>
              <c:strCache>
                <c:ptCount val="1"/>
                <c:pt idx="0">
                  <c:v>占位2</c:v>
                </c:pt>
              </c:strCache>
            </c:strRef>
          </c:tx>
          <c:spPr>
            <a:ln>
              <a:noFill/>
            </a:ln>
          </c:spPr>
          <c:dPt>
            <c:idx val="0"/>
            <c:spPr>
              <a:solidFill>
                <a:srgbClr val="E74E69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B-E7AE-4962-8E96-7E8BF83F204C}"/>
              </c:ext>
            </c:extLst>
          </c:dPt>
          <c:dPt>
            <c:idx val="1"/>
            <c:spPr>
              <a:solidFill>
                <a:srgbClr val="F5C353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D-E7AE-4962-8E96-7E8BF83F204C}"/>
              </c:ext>
            </c:extLst>
          </c:dPt>
          <c:dPt>
            <c:idx val="2"/>
            <c:spPr>
              <a:solidFill>
                <a:srgbClr val="11A7AD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F-E7AE-4962-8E96-7E8BF83F204C}"/>
              </c:ext>
            </c:extLst>
          </c:dPt>
          <c:dPt>
            <c:idx val="3"/>
            <c:spPr>
              <a:solidFill>
                <a:srgbClr val="0070C0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1-E7AE-4962-8E96-7E8BF83F204C}"/>
              </c:ext>
            </c:extLst>
          </c:dPt>
          <c:dPt>
            <c:idx val="4"/>
            <c:spPr>
              <a:solidFill>
                <a:srgbClr val="37A2DA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3-E7AE-4962-8E96-7E8BF83F204C}"/>
              </c:ext>
            </c:extLst>
          </c:dPt>
          <c:dPt>
            <c:idx val="5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5-E7AE-4962-8E96-7E8BF83F204C}"/>
              </c:ext>
            </c:extLst>
          </c:dPt>
          <c:cat>
            <c:strRef>
              <c:f>'19 南丁格尔圆饼图'!$B$3:$B$8</c:f>
              <c:strCache>
                <c:ptCount val="6"/>
                <c:pt idx="0">
                  <c:v>销售部</c:v>
                </c:pt>
                <c:pt idx="1">
                  <c:v>采购部</c:v>
                </c:pt>
                <c:pt idx="2">
                  <c:v>工程部</c:v>
                </c:pt>
                <c:pt idx="3">
                  <c:v>财务部</c:v>
                </c:pt>
                <c:pt idx="4">
                  <c:v> 行政部</c:v>
                </c:pt>
                <c:pt idx="5">
                  <c:v>人力部</c:v>
                </c:pt>
              </c:strCache>
            </c:strRef>
          </c:cat>
          <c:val>
            <c:numRef>
              <c:f>'19 南丁格尔圆饼图'!$E$3:$E$8</c:f>
              <c:numCache>
                <c:formatCode>0.0%</c:formatCode>
                <c:ptCount val="6"/>
                <c:pt idx="0">
                  <c:v>0.29199999999999998</c:v>
                </c:pt>
                <c:pt idx="1">
                  <c:v>0.22700000000000001</c:v>
                </c:pt>
                <c:pt idx="2">
                  <c:v>0.17499999999999999</c:v>
                </c:pt>
                <c:pt idx="3">
                  <c:v>0.13600000000000001</c:v>
                </c:pt>
                <c:pt idx="4">
                  <c:v>0.10299999999999999</c:v>
                </c:pt>
                <c:pt idx="5">
                  <c:v>6.7000000000000004E-2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6-E7AE-4962-8E96-7E8BF83F204C}"/>
            </c:ext>
          </c:extLst>
        </c:ser>
        <c:ser>
          <c:idx val="3"/>
          <c:order val="3"/>
          <c:tx>
            <c:strRef>
              <c:f>'19 南丁格尔圆饼图'!$F$2</c:f>
              <c:strCache>
                <c:ptCount val="1"/>
                <c:pt idx="0">
                  <c:v>占位3</c:v>
                </c:pt>
              </c:strCache>
            </c:strRef>
          </c:tx>
          <c:spPr>
            <a:ln>
              <a:noFill/>
            </a:ln>
          </c:spPr>
          <c:dPt>
            <c:idx val="0"/>
            <c:spPr>
              <a:solidFill>
                <a:srgbClr val="E74E69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8-E7AE-4962-8E96-7E8BF83F204C}"/>
              </c:ext>
            </c:extLst>
          </c:dPt>
          <c:dPt>
            <c:idx val="1"/>
            <c:spPr>
              <a:solidFill>
                <a:srgbClr val="F5C353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A-E7AE-4962-8E96-7E8BF83F204C}"/>
              </c:ext>
            </c:extLst>
          </c:dPt>
          <c:dPt>
            <c:idx val="2"/>
            <c:spPr>
              <a:solidFill>
                <a:srgbClr val="11A7AD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C-E7AE-4962-8E96-7E8BF83F204C}"/>
              </c:ext>
            </c:extLst>
          </c:dPt>
          <c:dPt>
            <c:idx val="3"/>
            <c:spPr>
              <a:solidFill>
                <a:srgbClr val="0070C0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E-E7AE-4962-8E96-7E8BF83F204C}"/>
              </c:ext>
            </c:extLst>
          </c:dPt>
          <c:dPt>
            <c:idx val="4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0-E7AE-4962-8E96-7E8BF83F204C}"/>
              </c:ext>
            </c:extLst>
          </c:dPt>
          <c:dPt>
            <c:idx val="5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2-E7AE-4962-8E96-7E8BF83F204C}"/>
              </c:ext>
            </c:extLst>
          </c:dPt>
          <c:cat>
            <c:strRef>
              <c:f>'19 南丁格尔圆饼图'!$B$3:$B$8</c:f>
              <c:strCache>
                <c:ptCount val="6"/>
                <c:pt idx="0">
                  <c:v>销售部</c:v>
                </c:pt>
                <c:pt idx="1">
                  <c:v>采购部</c:v>
                </c:pt>
                <c:pt idx="2">
                  <c:v>工程部</c:v>
                </c:pt>
                <c:pt idx="3">
                  <c:v>财务部</c:v>
                </c:pt>
                <c:pt idx="4">
                  <c:v> 行政部</c:v>
                </c:pt>
                <c:pt idx="5">
                  <c:v>人力部</c:v>
                </c:pt>
              </c:strCache>
            </c:strRef>
          </c:cat>
          <c:val>
            <c:numRef>
              <c:f>'19 南丁格尔圆饼图'!$F$3:$F$8</c:f>
              <c:numCache>
                <c:formatCode>0.0%</c:formatCode>
                <c:ptCount val="6"/>
                <c:pt idx="0">
                  <c:v>0.29199999999999998</c:v>
                </c:pt>
                <c:pt idx="1">
                  <c:v>0.22700000000000001</c:v>
                </c:pt>
                <c:pt idx="2">
                  <c:v>0.17499999999999999</c:v>
                </c:pt>
                <c:pt idx="3">
                  <c:v>0.13600000000000001</c:v>
                </c:pt>
                <c:pt idx="4">
                  <c:v>0.10299999999999999</c:v>
                </c:pt>
                <c:pt idx="5">
                  <c:v>6.7000000000000004E-2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33-E7AE-4962-8E96-7E8BF83F204C}"/>
            </c:ext>
          </c:extLst>
        </c:ser>
        <c:ser>
          <c:idx val="4"/>
          <c:order val="4"/>
          <c:tx>
            <c:strRef>
              <c:f>'19 南丁格尔圆饼图'!$G$2</c:f>
              <c:strCache>
                <c:ptCount val="1"/>
                <c:pt idx="0">
                  <c:v>占位4</c:v>
                </c:pt>
              </c:strCache>
            </c:strRef>
          </c:tx>
          <c:spPr>
            <a:ln>
              <a:noFill/>
            </a:ln>
          </c:spPr>
          <c:dPt>
            <c:idx val="0"/>
            <c:spPr>
              <a:solidFill>
                <a:srgbClr val="E74E69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5-E7AE-4962-8E96-7E8BF83F204C}"/>
              </c:ext>
            </c:extLst>
          </c:dPt>
          <c:dPt>
            <c:idx val="1"/>
            <c:spPr>
              <a:solidFill>
                <a:srgbClr val="F5C353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7-E7AE-4962-8E96-7E8BF83F204C}"/>
              </c:ext>
            </c:extLst>
          </c:dPt>
          <c:dPt>
            <c:idx val="2"/>
            <c:spPr>
              <a:solidFill>
                <a:srgbClr val="11A7AD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9-E7AE-4962-8E96-7E8BF83F204C}"/>
              </c:ext>
            </c:extLst>
          </c:dPt>
          <c:dPt>
            <c:idx val="3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B-E7AE-4962-8E96-7E8BF83F204C}"/>
              </c:ext>
            </c:extLst>
          </c:dPt>
          <c:dPt>
            <c:idx val="4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D-E7AE-4962-8E96-7E8BF83F204C}"/>
              </c:ext>
            </c:extLst>
          </c:dPt>
          <c:dPt>
            <c:idx val="5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F-E7AE-4962-8E96-7E8BF83F204C}"/>
              </c:ext>
            </c:extLst>
          </c:dPt>
          <c:cat>
            <c:strRef>
              <c:f>'19 南丁格尔圆饼图'!$B$3:$B$8</c:f>
              <c:strCache>
                <c:ptCount val="6"/>
                <c:pt idx="0">
                  <c:v>销售部</c:v>
                </c:pt>
                <c:pt idx="1">
                  <c:v>采购部</c:v>
                </c:pt>
                <c:pt idx="2">
                  <c:v>工程部</c:v>
                </c:pt>
                <c:pt idx="3">
                  <c:v>财务部</c:v>
                </c:pt>
                <c:pt idx="4">
                  <c:v> 行政部</c:v>
                </c:pt>
                <c:pt idx="5">
                  <c:v>人力部</c:v>
                </c:pt>
              </c:strCache>
            </c:strRef>
          </c:cat>
          <c:val>
            <c:numRef>
              <c:f>'19 南丁格尔圆饼图'!$G$3:$G$8</c:f>
              <c:numCache>
                <c:formatCode>0.0%</c:formatCode>
                <c:ptCount val="6"/>
                <c:pt idx="0">
                  <c:v>0.29199999999999998</c:v>
                </c:pt>
                <c:pt idx="1">
                  <c:v>0.22700000000000001</c:v>
                </c:pt>
                <c:pt idx="2">
                  <c:v>0.17499999999999999</c:v>
                </c:pt>
                <c:pt idx="3">
                  <c:v>0.13600000000000001</c:v>
                </c:pt>
                <c:pt idx="4">
                  <c:v>0.10299999999999999</c:v>
                </c:pt>
                <c:pt idx="5">
                  <c:v>6.7000000000000004E-2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40-E7AE-4962-8E96-7E8BF83F204C}"/>
            </c:ext>
          </c:extLst>
        </c:ser>
        <c:ser>
          <c:idx val="5"/>
          <c:order val="5"/>
          <c:tx>
            <c:strRef>
              <c:f>'19 南丁格尔圆饼图'!$H$2</c:f>
              <c:strCache>
                <c:ptCount val="1"/>
                <c:pt idx="0">
                  <c:v>占位5</c:v>
                </c:pt>
              </c:strCache>
            </c:strRef>
          </c:tx>
          <c:spPr>
            <a:ln>
              <a:noFill/>
            </a:ln>
          </c:spPr>
          <c:dPt>
            <c:idx val="0"/>
            <c:spPr>
              <a:solidFill>
                <a:srgbClr val="E74E69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2-E7AE-4962-8E96-7E8BF83F204C}"/>
              </c:ext>
            </c:extLst>
          </c:dPt>
          <c:dPt>
            <c:idx val="1"/>
            <c:spPr>
              <a:solidFill>
                <a:srgbClr val="F5C353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4-E7AE-4962-8E96-7E8BF83F204C}"/>
              </c:ext>
            </c:extLst>
          </c:dPt>
          <c:dPt>
            <c:idx val="2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6-E7AE-4962-8E96-7E8BF83F204C}"/>
              </c:ext>
            </c:extLst>
          </c:dPt>
          <c:dPt>
            <c:idx val="3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8-E7AE-4962-8E96-7E8BF83F204C}"/>
              </c:ext>
            </c:extLst>
          </c:dPt>
          <c:dPt>
            <c:idx val="4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A-E7AE-4962-8E96-7E8BF83F204C}"/>
              </c:ext>
            </c:extLst>
          </c:dPt>
          <c:dPt>
            <c:idx val="5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C-E7AE-4962-8E96-7E8BF83F204C}"/>
              </c:ext>
            </c:extLst>
          </c:dPt>
          <c:cat>
            <c:strRef>
              <c:f>'19 南丁格尔圆饼图'!$B$3:$B$8</c:f>
              <c:strCache>
                <c:ptCount val="6"/>
                <c:pt idx="0">
                  <c:v>销售部</c:v>
                </c:pt>
                <c:pt idx="1">
                  <c:v>采购部</c:v>
                </c:pt>
                <c:pt idx="2">
                  <c:v>工程部</c:v>
                </c:pt>
                <c:pt idx="3">
                  <c:v>财务部</c:v>
                </c:pt>
                <c:pt idx="4">
                  <c:v> 行政部</c:v>
                </c:pt>
                <c:pt idx="5">
                  <c:v>人力部</c:v>
                </c:pt>
              </c:strCache>
            </c:strRef>
          </c:cat>
          <c:val>
            <c:numRef>
              <c:f>'19 南丁格尔圆饼图'!$H$3:$H$8</c:f>
              <c:numCache>
                <c:formatCode>0.0%</c:formatCode>
                <c:ptCount val="6"/>
                <c:pt idx="0">
                  <c:v>0.29199999999999998</c:v>
                </c:pt>
                <c:pt idx="1">
                  <c:v>0.22700000000000001</c:v>
                </c:pt>
                <c:pt idx="2">
                  <c:v>0.17499999999999999</c:v>
                </c:pt>
                <c:pt idx="3">
                  <c:v>0.13600000000000001</c:v>
                </c:pt>
                <c:pt idx="4">
                  <c:v>0.10299999999999999</c:v>
                </c:pt>
                <c:pt idx="5">
                  <c:v>6.7000000000000004E-2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4D-E7AE-4962-8E96-7E8BF83F204C}"/>
            </c:ext>
          </c:extLst>
        </c:ser>
        <c:ser>
          <c:idx val="6"/>
          <c:order val="6"/>
          <c:tx>
            <c:strRef>
              <c:f>'19 南丁格尔圆饼图'!$I$2</c:f>
              <c:strCache>
                <c:ptCount val="1"/>
                <c:pt idx="0">
                  <c:v>占位6</c:v>
                </c:pt>
              </c:strCache>
            </c:strRef>
          </c:tx>
          <c:spPr>
            <a:ln>
              <a:noFill/>
            </a:ln>
          </c:spPr>
          <c:dPt>
            <c:idx val="0"/>
            <c:spPr>
              <a:solidFill>
                <a:srgbClr val="E74E69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F-E7AE-4962-8E96-7E8BF83F204C}"/>
              </c:ext>
            </c:extLst>
          </c:dPt>
          <c:dPt>
            <c:idx val="1"/>
            <c:spPr>
              <a:solidFill>
                <a:srgbClr val="1A1E43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1-E7AE-4962-8E96-7E8BF83F204C}"/>
              </c:ext>
            </c:extLst>
          </c:dPt>
          <c:dPt>
            <c:idx val="2"/>
            <c:spPr>
              <a:solidFill>
                <a:srgbClr val="1A1E43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3-E7AE-4962-8E96-7E8BF83F204C}"/>
              </c:ext>
            </c:extLst>
          </c:dPt>
          <c:dPt>
            <c:idx val="3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5-E7AE-4962-8E96-7E8BF83F204C}"/>
              </c:ext>
            </c:extLst>
          </c:dPt>
          <c:dPt>
            <c:idx val="4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7-E7AE-4962-8E96-7E8BF83F204C}"/>
              </c:ext>
            </c:extLst>
          </c:dPt>
          <c:dPt>
            <c:idx val="5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9-E7AE-4962-8E96-7E8BF83F204C}"/>
              </c:ext>
            </c:extLst>
          </c:dPt>
          <c:dLbls>
            <c:dLbl>
              <c:idx val="0"/>
              <c:layout>
                <c:manualLayout>
                  <c:x val="0.1642156862745098"/>
                  <c:y val="-0.10316959765778665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rgbClr val="E74E69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zh-CN" altLang="en-US" baseline="0">
                        <a:solidFill>
                          <a:schemeClr val="bg1"/>
                        </a:solidFill>
                      </a:rPr>
                      <a:t>销售部 </a:t>
                    </a:r>
                  </a:p>
                  <a:p>
                    <a:pPr>
                      <a:defRPr sz="900" b="0" i="0" u="none" strike="noStrike" kern="1200" baseline="0">
                        <a:solidFill>
                          <a:srgbClr val="E74E69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baseline="0">
                        <a:solidFill>
                          <a:srgbClr val="E74E69"/>
                        </a:solidFill>
                      </a:rPr>
                      <a:t>29.2%</a:t>
                    </a:r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Val val="1"/>
              <c:separator> </c:separator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F-E7AE-4962-8E96-7E8BF83F204C}"/>
                </c:ext>
              </c:extLst>
            </c:dLbl>
            <c:dLbl>
              <c:idx val="1"/>
              <c:layout>
                <c:manualLayout>
                  <c:x val="0.15441176470588239"/>
                  <c:y val="-6.879606879606881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 baseline="0"/>
                      <a:t>采购部 </a:t>
                    </a:r>
                  </a:p>
                  <a:p>
                    <a:r>
                      <a:rPr lang="en-US" altLang="zh-CN" baseline="0">
                        <a:solidFill>
                          <a:srgbClr val="F5C353"/>
                        </a:solidFill>
                      </a:rPr>
                      <a:t>22.7%</a:t>
                    </a:r>
                    <a:endParaRPr lang="zh-CN" altLang="en-US"/>
                  </a:p>
                </c:rich>
              </c:tx>
              <c:showVal val="1"/>
              <c:separator> </c:separator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1-E7AE-4962-8E96-7E8BF83F204C}"/>
                </c:ext>
              </c:extLst>
            </c:dLbl>
            <c:dLbl>
              <c:idx val="2"/>
              <c:layout>
                <c:manualLayout>
                  <c:x val="-9.31372549019608E-2"/>
                  <c:y val="-1.6380016380016505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 baseline="0"/>
                      <a:t>工程部</a:t>
                    </a:r>
                  </a:p>
                  <a:p>
                    <a:r>
                      <a:rPr lang="zh-CN" altLang="en-US" baseline="0"/>
                      <a:t> </a:t>
                    </a:r>
                    <a:r>
                      <a:rPr lang="en-US" altLang="zh-CN" baseline="0">
                        <a:solidFill>
                          <a:srgbClr val="11A7AD"/>
                        </a:solidFill>
                      </a:rPr>
                      <a:t>17.5%</a:t>
                    </a:r>
                    <a:endParaRPr lang="zh-CN" altLang="en-US" baseline="0"/>
                  </a:p>
                </c:rich>
              </c:tx>
              <c:showVal val="1"/>
              <c:separator> </c:separator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3-E7AE-4962-8E96-7E8BF83F204C}"/>
                </c:ext>
              </c:extLst>
            </c:dLbl>
            <c:dLbl>
              <c:idx val="3"/>
              <c:layout>
                <c:manualLayout>
                  <c:x val="-4.901960784313731E-2"/>
                  <c:y val="4.586404586404581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bg1">
                            <a:lumMod val="9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zh-CN" altLang="en-US" baseline="0"/>
                      <a:t>财务部 </a:t>
                    </a:r>
                    <a:endParaRPr lang="en-US" altLang="zh-CN" baseline="0"/>
                  </a:p>
                  <a:p>
                    <a:pPr>
                      <a:defRPr sz="900" b="0" i="0" u="none" strike="noStrike" kern="1200" baseline="0">
                        <a:solidFill>
                          <a:schemeClr val="bg1">
                            <a:lumMod val="9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baseline="0"/>
                      <a:t>13.6%</a:t>
                    </a:r>
                    <a:endParaRPr lang="zh-CN" alt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Val val="1"/>
              <c:separator> </c:separator>
            </c:dLbl>
            <c:dLbl>
              <c:idx val="4"/>
              <c:layout>
                <c:manualLayout>
                  <c:x val="-0.11029411764705886"/>
                  <c:y val="2.620802620802621E-2"/>
                </c:manualLayout>
              </c:layout>
              <c:tx>
                <c:rich>
                  <a:bodyPr/>
                  <a:lstStyle/>
                  <a:p>
                    <a:r>
                      <a:rPr lang="zh-CN" altLang="en-US" baseline="0"/>
                      <a:t>行政部 </a:t>
                    </a:r>
                  </a:p>
                  <a:p>
                    <a:r>
                      <a:rPr lang="en-US" altLang="zh-CN" baseline="0">
                        <a:solidFill>
                          <a:srgbClr val="37A2DA"/>
                        </a:solidFill>
                      </a:rPr>
                      <a:t>10.3%</a:t>
                    </a:r>
                    <a:endParaRPr lang="zh-CN" altLang="en-US"/>
                  </a:p>
                </c:rich>
              </c:tx>
              <c:showVal val="1"/>
              <c:separator> </c:separator>
            </c:dLbl>
            <c:dLbl>
              <c:idx val="5"/>
              <c:layout>
                <c:manualLayout>
                  <c:x val="-7.1078431372549017E-2"/>
                  <c:y val="3.603603603603603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rgbClr val="7030A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zh-CN" altLang="en-US" baseline="0">
                        <a:solidFill>
                          <a:schemeClr val="bg1"/>
                        </a:solidFill>
                      </a:rPr>
                      <a:t>人力部 </a:t>
                    </a:r>
                  </a:p>
                  <a:p>
                    <a:pPr>
                      <a:defRPr sz="900" b="0" i="0" u="none" strike="noStrike" kern="1200" baseline="0">
                        <a:solidFill>
                          <a:srgbClr val="7030A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baseline="0">
                        <a:solidFill>
                          <a:srgbClr val="7030A0"/>
                        </a:solidFill>
                      </a:rPr>
                      <a:t>6.7%</a:t>
                    </a:r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Val val="1"/>
              <c:separator> </c:separator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9-E7AE-4962-8E96-7E8BF83F20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Val val="1"/>
            <c:separator> </c:separator>
            <c:extLst xmlns:c16r2="http://schemas.microsoft.com/office/drawing/2015/06/chart"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'19 南丁格尔圆饼图'!$B$3:$B$8</c:f>
              <c:strCache>
                <c:ptCount val="6"/>
                <c:pt idx="0">
                  <c:v>销售部</c:v>
                </c:pt>
                <c:pt idx="1">
                  <c:v>采购部</c:v>
                </c:pt>
                <c:pt idx="2">
                  <c:v>工程部</c:v>
                </c:pt>
                <c:pt idx="3">
                  <c:v>财务部</c:v>
                </c:pt>
                <c:pt idx="4">
                  <c:v> 行政部</c:v>
                </c:pt>
                <c:pt idx="5">
                  <c:v>人力部</c:v>
                </c:pt>
              </c:strCache>
            </c:strRef>
          </c:cat>
          <c:val>
            <c:numRef>
              <c:f>'19 南丁格尔圆饼图'!$I$3:$I$8</c:f>
              <c:numCache>
                <c:formatCode>0.0%</c:formatCode>
                <c:ptCount val="6"/>
                <c:pt idx="0">
                  <c:v>0.29199999999999998</c:v>
                </c:pt>
                <c:pt idx="1">
                  <c:v>0.22700000000000001</c:v>
                </c:pt>
                <c:pt idx="2">
                  <c:v>0.17499999999999999</c:v>
                </c:pt>
                <c:pt idx="3">
                  <c:v>0.13600000000000001</c:v>
                </c:pt>
                <c:pt idx="4">
                  <c:v>0.10299999999999999</c:v>
                </c:pt>
                <c:pt idx="5">
                  <c:v>6.7000000000000004E-2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datalabelsRange>
                <c15:f>'19 南丁格尔圆饼图'!$B$3:$B$8</c15:f>
                <c15:dlblRangeCache>
                  <c:ptCount val="6"/>
                  <c:pt idx="0">
                    <c:v>销售部</c:v>
                  </c:pt>
                  <c:pt idx="1">
                    <c:v>采购部</c:v>
                  </c:pt>
                  <c:pt idx="2">
                    <c:v>工程部</c:v>
                  </c:pt>
                  <c:pt idx="3">
                    <c:v>财务部</c:v>
                  </c:pt>
                  <c:pt idx="4">
                    <c:v> 行政部</c:v>
                  </c:pt>
                  <c:pt idx="5">
                    <c:v>人力部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A-E7AE-4962-8E96-7E8BF83F204C}"/>
            </c:ext>
          </c:extLst>
        </c:ser>
        <c:dLbls/>
        <c:firstSliceAng val="0"/>
      </c:pie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A1E43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autoTitleDeleted val="1"/>
    <c:plotArea>
      <c:layout>
        <c:manualLayout>
          <c:layoutTarget val="inner"/>
          <c:xMode val="edge"/>
          <c:yMode val="edge"/>
          <c:x val="0.28232220972378458"/>
          <c:y val="0.31257832353285042"/>
          <c:w val="0.43307509638218294"/>
          <c:h val="0.5774333878222413"/>
        </c:manualLayout>
      </c:layout>
      <c:doughnutChart>
        <c:varyColors val="1"/>
        <c:ser>
          <c:idx val="0"/>
          <c:order val="0"/>
          <c:tx>
            <c:strRef>
              <c:f>'20 南丁格尔圆环图'!$C$2</c:f>
              <c:strCache>
                <c:ptCount val="1"/>
                <c:pt idx="0">
                  <c:v>人数占比</c:v>
                </c:pt>
              </c:strCache>
            </c:strRef>
          </c:tx>
          <c:spPr>
            <a:ln>
              <a:noFill/>
            </a:ln>
          </c:spPr>
          <c:dPt>
            <c:idx val="0"/>
            <c:spPr>
              <a:solidFill>
                <a:srgbClr val="512DCB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4D2-46E9-9E47-9F64A0782D41}"/>
              </c:ext>
            </c:extLst>
          </c:dPt>
          <c:dPt>
            <c:idx val="1"/>
            <c:spPr>
              <a:solidFill>
                <a:srgbClr val="6073F3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B4D2-46E9-9E47-9F64A0782D41}"/>
              </c:ext>
            </c:extLst>
          </c:dPt>
          <c:dPt>
            <c:idx val="2"/>
            <c:spPr>
              <a:solidFill>
                <a:srgbClr val="66CBDD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B4D2-46E9-9E47-9F64A0782D41}"/>
              </c:ext>
            </c:extLst>
          </c:dPt>
          <c:dPt>
            <c:idx val="3"/>
            <c:spPr>
              <a:solidFill>
                <a:srgbClr val="F5C353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B4D2-46E9-9E47-9F64A0782D41}"/>
              </c:ext>
            </c:extLst>
          </c:dPt>
          <c:cat>
            <c:strRef>
              <c:f>'20 南丁格尔圆环图'!$B$3:$B$6</c:f>
              <c:strCache>
                <c:ptCount val="4"/>
                <c:pt idx="0">
                  <c:v>[20,30)</c:v>
                </c:pt>
                <c:pt idx="1">
                  <c:v>[30,40)</c:v>
                </c:pt>
                <c:pt idx="2">
                  <c:v>[40,50)</c:v>
                </c:pt>
                <c:pt idx="3">
                  <c:v>&gt;=50</c:v>
                </c:pt>
              </c:strCache>
            </c:strRef>
          </c:cat>
          <c:val>
            <c:numRef>
              <c:f>'20 南丁格尔圆环图'!$C$3:$C$6</c:f>
              <c:numCache>
                <c:formatCode>0.0%</c:formatCode>
                <c:ptCount val="4"/>
                <c:pt idx="0">
                  <c:v>0.375</c:v>
                </c:pt>
                <c:pt idx="1">
                  <c:v>0.29166666666666669</c:v>
                </c:pt>
                <c:pt idx="2">
                  <c:v>0.20833333333333334</c:v>
                </c:pt>
                <c:pt idx="3">
                  <c:v>0.125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B4D2-46E9-9E47-9F64A0782D41}"/>
            </c:ext>
          </c:extLst>
        </c:ser>
        <c:ser>
          <c:idx val="1"/>
          <c:order val="1"/>
          <c:tx>
            <c:strRef>
              <c:f>'20 南丁格尔圆环图'!$D$2</c:f>
              <c:strCache>
                <c:ptCount val="1"/>
                <c:pt idx="0">
                  <c:v>占位1</c:v>
                </c:pt>
              </c:strCache>
            </c:strRef>
          </c:tx>
          <c:spPr>
            <a:ln>
              <a:noFill/>
            </a:ln>
          </c:spPr>
          <c:dPt>
            <c:idx val="0"/>
            <c:spPr>
              <a:solidFill>
                <a:srgbClr val="512DCB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A-B4D2-46E9-9E47-9F64A0782D41}"/>
              </c:ext>
            </c:extLst>
          </c:dPt>
          <c:dPt>
            <c:idx val="1"/>
            <c:spPr>
              <a:solidFill>
                <a:srgbClr val="6073F3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C-B4D2-46E9-9E47-9F64A0782D41}"/>
              </c:ext>
            </c:extLst>
          </c:dPt>
          <c:dPt>
            <c:idx val="2"/>
            <c:spPr>
              <a:solidFill>
                <a:srgbClr val="66CBDD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E-B4D2-46E9-9E47-9F64A0782D41}"/>
              </c:ext>
            </c:extLst>
          </c:dPt>
          <c:dPt>
            <c:idx val="3"/>
            <c:spPr>
              <a:solidFill>
                <a:srgbClr val="F5C353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0-B4D2-46E9-9E47-9F64A0782D41}"/>
              </c:ext>
            </c:extLst>
          </c:dPt>
          <c:cat>
            <c:strRef>
              <c:f>'20 南丁格尔圆环图'!$B$3:$B$6</c:f>
              <c:strCache>
                <c:ptCount val="4"/>
                <c:pt idx="0">
                  <c:v>[20,30)</c:v>
                </c:pt>
                <c:pt idx="1">
                  <c:v>[30,40)</c:v>
                </c:pt>
                <c:pt idx="2">
                  <c:v>[40,50)</c:v>
                </c:pt>
                <c:pt idx="3">
                  <c:v>&gt;=50</c:v>
                </c:pt>
              </c:strCache>
            </c:strRef>
          </c:cat>
          <c:val>
            <c:numRef>
              <c:f>'20 南丁格尔圆环图'!$D$3:$D$6</c:f>
              <c:numCache>
                <c:formatCode>0.0%</c:formatCode>
                <c:ptCount val="4"/>
                <c:pt idx="0">
                  <c:v>0.375</c:v>
                </c:pt>
                <c:pt idx="1">
                  <c:v>0.29166666666666669</c:v>
                </c:pt>
                <c:pt idx="2">
                  <c:v>0.20833333333333334</c:v>
                </c:pt>
                <c:pt idx="3">
                  <c:v>0.125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1-B4D2-46E9-9E47-9F64A0782D41}"/>
            </c:ext>
          </c:extLst>
        </c:ser>
        <c:ser>
          <c:idx val="2"/>
          <c:order val="2"/>
          <c:tx>
            <c:strRef>
              <c:f>'20 南丁格尔圆环图'!$E$2</c:f>
              <c:strCache>
                <c:ptCount val="1"/>
                <c:pt idx="0">
                  <c:v>占位2</c:v>
                </c:pt>
              </c:strCache>
            </c:strRef>
          </c:tx>
          <c:spPr>
            <a:ln>
              <a:noFill/>
            </a:ln>
          </c:spPr>
          <c:dPt>
            <c:idx val="0"/>
            <c:spPr>
              <a:solidFill>
                <a:srgbClr val="512DCB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B4D2-46E9-9E47-9F64A0782D41}"/>
              </c:ext>
            </c:extLst>
          </c:dPt>
          <c:dPt>
            <c:idx val="1"/>
            <c:spPr>
              <a:solidFill>
                <a:srgbClr val="6073F3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B4D2-46E9-9E47-9F64A0782D41}"/>
              </c:ext>
            </c:extLst>
          </c:dPt>
          <c:dPt>
            <c:idx val="2"/>
            <c:spPr>
              <a:solidFill>
                <a:srgbClr val="66CBDD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B4D2-46E9-9E47-9F64A0782D41}"/>
              </c:ext>
            </c:extLst>
          </c:dPt>
          <c:dPt>
            <c:idx val="3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9-B4D2-46E9-9E47-9F64A0782D41}"/>
              </c:ext>
            </c:extLst>
          </c:dPt>
          <c:cat>
            <c:strRef>
              <c:f>'20 南丁格尔圆环图'!$B$3:$B$6</c:f>
              <c:strCache>
                <c:ptCount val="4"/>
                <c:pt idx="0">
                  <c:v>[20,30)</c:v>
                </c:pt>
                <c:pt idx="1">
                  <c:v>[30,40)</c:v>
                </c:pt>
                <c:pt idx="2">
                  <c:v>[40,50)</c:v>
                </c:pt>
                <c:pt idx="3">
                  <c:v>&gt;=50</c:v>
                </c:pt>
              </c:strCache>
            </c:strRef>
          </c:cat>
          <c:val>
            <c:numRef>
              <c:f>'20 南丁格尔圆环图'!$E$3:$E$6</c:f>
              <c:numCache>
                <c:formatCode>0.0%</c:formatCode>
                <c:ptCount val="4"/>
                <c:pt idx="0">
                  <c:v>0.375</c:v>
                </c:pt>
                <c:pt idx="1">
                  <c:v>0.29166666666666669</c:v>
                </c:pt>
                <c:pt idx="2">
                  <c:v>0.20833333333333334</c:v>
                </c:pt>
                <c:pt idx="3">
                  <c:v>0.125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A-B4D2-46E9-9E47-9F64A0782D41}"/>
            </c:ext>
          </c:extLst>
        </c:ser>
        <c:ser>
          <c:idx val="3"/>
          <c:order val="3"/>
          <c:tx>
            <c:strRef>
              <c:f>'20 南丁格尔圆环图'!$F$2</c:f>
              <c:strCache>
                <c:ptCount val="1"/>
                <c:pt idx="0">
                  <c:v>占位3</c:v>
                </c:pt>
              </c:strCache>
            </c:strRef>
          </c:tx>
          <c:spPr>
            <a:ln>
              <a:noFill/>
            </a:ln>
          </c:spPr>
          <c:dPt>
            <c:idx val="0"/>
            <c:spPr>
              <a:solidFill>
                <a:srgbClr val="512DCB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C-B4D2-46E9-9E47-9F64A0782D41}"/>
              </c:ext>
            </c:extLst>
          </c:dPt>
          <c:dPt>
            <c:idx val="1"/>
            <c:spPr>
              <a:solidFill>
                <a:srgbClr val="6073F3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E-B4D2-46E9-9E47-9F64A0782D41}"/>
              </c:ext>
            </c:extLst>
          </c:dPt>
          <c:dPt>
            <c:idx val="2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0-B4D2-46E9-9E47-9F64A0782D41}"/>
              </c:ext>
            </c:extLst>
          </c:dPt>
          <c:dPt>
            <c:idx val="3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2-B4D2-46E9-9E47-9F64A0782D41}"/>
              </c:ext>
            </c:extLst>
          </c:dPt>
          <c:cat>
            <c:strRef>
              <c:f>'20 南丁格尔圆环图'!$B$3:$B$6</c:f>
              <c:strCache>
                <c:ptCount val="4"/>
                <c:pt idx="0">
                  <c:v>[20,30)</c:v>
                </c:pt>
                <c:pt idx="1">
                  <c:v>[30,40)</c:v>
                </c:pt>
                <c:pt idx="2">
                  <c:v>[40,50)</c:v>
                </c:pt>
                <c:pt idx="3">
                  <c:v>&gt;=50</c:v>
                </c:pt>
              </c:strCache>
            </c:strRef>
          </c:cat>
          <c:val>
            <c:numRef>
              <c:f>'20 南丁格尔圆环图'!$F$3:$F$6</c:f>
              <c:numCache>
                <c:formatCode>0.0%</c:formatCode>
                <c:ptCount val="4"/>
                <c:pt idx="0">
                  <c:v>0.375</c:v>
                </c:pt>
                <c:pt idx="1">
                  <c:v>0.29166666666666669</c:v>
                </c:pt>
                <c:pt idx="2">
                  <c:v>0.20833333333333334</c:v>
                </c:pt>
                <c:pt idx="3">
                  <c:v>0.125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3-B4D2-46E9-9E47-9F64A0782D41}"/>
            </c:ext>
          </c:extLst>
        </c:ser>
        <c:ser>
          <c:idx val="4"/>
          <c:order val="4"/>
          <c:tx>
            <c:strRef>
              <c:f>'20 南丁格尔圆环图'!$G$2</c:f>
              <c:strCache>
                <c:ptCount val="1"/>
                <c:pt idx="0">
                  <c:v>占位4</c:v>
                </c:pt>
              </c:strCache>
            </c:strRef>
          </c:tx>
          <c:spPr>
            <a:ln>
              <a:noFill/>
            </a:ln>
          </c:spPr>
          <c:dPt>
            <c:idx val="0"/>
            <c:spPr>
              <a:solidFill>
                <a:srgbClr val="512DCB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5-B4D2-46E9-9E47-9F64A0782D41}"/>
              </c:ext>
            </c:extLst>
          </c:dPt>
          <c:dPt>
            <c:idx val="1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7-B4D2-46E9-9E47-9F64A0782D41}"/>
              </c:ext>
            </c:extLst>
          </c:dPt>
          <c:dPt>
            <c:idx val="2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9-B4D2-46E9-9E47-9F64A0782D41}"/>
              </c:ext>
            </c:extLst>
          </c:dPt>
          <c:dPt>
            <c:idx val="3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B-B4D2-46E9-9E47-9F64A0782D41}"/>
              </c:ext>
            </c:extLst>
          </c:dPt>
          <c:dLbls>
            <c:dLbl>
              <c:idx val="0"/>
              <c:layout>
                <c:manualLayout>
                  <c:x val="0.14652014652014655"/>
                  <c:y val="-0.1790801561240542"/>
                </c:manualLayout>
              </c:layout>
              <c:tx>
                <c:rich>
                  <a:bodyPr/>
                  <a:lstStyle/>
                  <a:p>
                    <a:r>
                      <a:rPr lang="en-US" altLang="zh-CN"/>
                      <a:t>[20,30)</a:t>
                    </a:r>
                    <a:r>
                      <a:rPr lang="en-US" altLang="zh-CN" baseline="0"/>
                      <a:t> </a:t>
                    </a:r>
                  </a:p>
                  <a:p>
                    <a:r>
                      <a:rPr lang="en-US" altLang="zh-CN" b="1" baseline="0">
                        <a:solidFill>
                          <a:srgbClr val="512DCB"/>
                        </a:solidFill>
                      </a:rPr>
                      <a:t>37.5%</a:t>
                    </a:r>
                    <a:endParaRPr lang="zh-CN" altLang="en-US"/>
                  </a:p>
                </c:rich>
              </c:tx>
              <c:showVal val="1"/>
              <c:showCatName val="1"/>
              <c:separator> </c:separator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25-B4D2-46E9-9E47-9F64A0782D41}"/>
                </c:ext>
              </c:extLst>
            </c:dLbl>
            <c:dLbl>
              <c:idx val="1"/>
              <c:layout>
                <c:manualLayout>
                  <c:x val="0.28815628815628819"/>
                  <c:y val="-9.7680085158575024E-3"/>
                </c:manualLayout>
              </c:layout>
              <c:tx>
                <c:rich>
                  <a:bodyPr/>
                  <a:lstStyle/>
                  <a:p>
                    <a:r>
                      <a:rPr lang="en-US" altLang="zh-CN"/>
                      <a:t>[30,40)</a:t>
                    </a:r>
                  </a:p>
                  <a:p>
                    <a:r>
                      <a:rPr lang="en-US" altLang="zh-CN" baseline="0"/>
                      <a:t> </a:t>
                    </a:r>
                    <a:r>
                      <a:rPr lang="en-US" altLang="zh-CN" b="1" baseline="0">
                        <a:solidFill>
                          <a:srgbClr val="6073F3"/>
                        </a:solidFill>
                      </a:rPr>
                      <a:t>29.2%</a:t>
                    </a:r>
                    <a:endParaRPr lang="en-US" altLang="zh-CN" baseline="0"/>
                  </a:p>
                </c:rich>
              </c:tx>
              <c:showVal val="1"/>
              <c:showCatName val="1"/>
              <c:separator> </c:separator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27-B4D2-46E9-9E47-9F64A0782D41}"/>
                </c:ext>
              </c:extLst>
            </c:dLbl>
            <c:dLbl>
              <c:idx val="2"/>
              <c:layout>
                <c:manualLayout>
                  <c:x val="-0.11233211233211235"/>
                  <c:y val="-9.7680085158575649E-3"/>
                </c:manualLayout>
              </c:layout>
              <c:tx>
                <c:rich>
                  <a:bodyPr/>
                  <a:lstStyle/>
                  <a:p>
                    <a:r>
                      <a:rPr lang="en-US" altLang="zh-CN"/>
                      <a:t>[40,50)</a:t>
                    </a:r>
                    <a:r>
                      <a:rPr lang="en-US" altLang="zh-CN" baseline="0"/>
                      <a:t> </a:t>
                    </a:r>
                  </a:p>
                  <a:p>
                    <a:r>
                      <a:rPr lang="en-US" altLang="zh-CN" b="1" baseline="0">
                        <a:solidFill>
                          <a:srgbClr val="66CBDD"/>
                        </a:solidFill>
                      </a:rPr>
                      <a:t>20.8%</a:t>
                    </a:r>
                    <a:endParaRPr lang="zh-CN" altLang="en-US"/>
                  </a:p>
                </c:rich>
              </c:tx>
              <c:showVal val="1"/>
              <c:showCatName val="1"/>
              <c:separator> </c:separator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29-B4D2-46E9-9E47-9F64A0782D41}"/>
                </c:ext>
              </c:extLst>
            </c:dLbl>
            <c:dLbl>
              <c:idx val="3"/>
              <c:layout>
                <c:manualLayout>
                  <c:x val="-0.13431013431013433"/>
                  <c:y val="-9.116807948133666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CN"/>
                      <a:t>&gt;=50</a:t>
                    </a:r>
                  </a:p>
                  <a:p>
                    <a:r>
                      <a:rPr lang="en-US" altLang="zh-CN" baseline="0"/>
                      <a:t> 12.5%</a:t>
                    </a:r>
                  </a:p>
                </c:rich>
              </c:tx>
              <c:showVal val="1"/>
              <c:showCatName val="1"/>
              <c:separator> </c:separator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2B-B4D2-46E9-9E47-9F64A0782D4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Val val="1"/>
            <c:showCatName val="1"/>
            <c:separator> </c:separator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'20 南丁格尔圆环图'!$B$3:$B$6</c:f>
              <c:strCache>
                <c:ptCount val="4"/>
                <c:pt idx="0">
                  <c:v>[20,30)</c:v>
                </c:pt>
                <c:pt idx="1">
                  <c:v>[30,40)</c:v>
                </c:pt>
                <c:pt idx="2">
                  <c:v>[40,50)</c:v>
                </c:pt>
                <c:pt idx="3">
                  <c:v>&gt;=50</c:v>
                </c:pt>
              </c:strCache>
            </c:strRef>
          </c:cat>
          <c:val>
            <c:numRef>
              <c:f>'20 南丁格尔圆环图'!$G$3:$G$6</c:f>
              <c:numCache>
                <c:formatCode>0.0%</c:formatCode>
                <c:ptCount val="4"/>
                <c:pt idx="0">
                  <c:v>0.375</c:v>
                </c:pt>
                <c:pt idx="1">
                  <c:v>0.29166666666666669</c:v>
                </c:pt>
                <c:pt idx="2">
                  <c:v>0.20833333333333334</c:v>
                </c:pt>
                <c:pt idx="3">
                  <c:v>0.125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C-B4D2-46E9-9E47-9F64A0782D41}"/>
            </c:ext>
          </c:extLst>
        </c:ser>
        <c:dLbls/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A1E43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autoTitleDeleted val="1"/>
    <c:plotArea>
      <c:layout>
        <c:manualLayout>
          <c:layoutTarget val="inner"/>
          <c:xMode val="edge"/>
          <c:yMode val="edge"/>
          <c:x val="0.23621333178940876"/>
          <c:y val="0.25225225225225228"/>
          <c:w val="0.51286764705882359"/>
          <c:h val="0.68550368550368557"/>
        </c:manualLayout>
      </c:layout>
      <c:pieChart>
        <c:varyColors val="1"/>
        <c:ser>
          <c:idx val="0"/>
          <c:order val="0"/>
          <c:tx>
            <c:strRef>
              <c:f>'19 南丁格尔圆饼图'!$C$2</c:f>
              <c:strCache>
                <c:ptCount val="1"/>
                <c:pt idx="0">
                  <c:v>人数占比</c:v>
                </c:pt>
              </c:strCache>
            </c:strRef>
          </c:tx>
          <c:spPr>
            <a:noFill/>
            <a:ln>
              <a:noFill/>
            </a:ln>
          </c:spPr>
          <c:dPt>
            <c:idx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2E2A-4C56-B45C-20AF3CB7FF67}"/>
              </c:ext>
            </c:extLst>
          </c:dPt>
          <c:dPt>
            <c:idx val="1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2E2A-4C56-B45C-20AF3CB7FF67}"/>
              </c:ext>
            </c:extLst>
          </c:dPt>
          <c:dPt>
            <c:idx val="2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2E2A-4C56-B45C-20AF3CB7FF67}"/>
              </c:ext>
            </c:extLst>
          </c:dPt>
          <c:dPt>
            <c:idx val="3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2E2A-4C56-B45C-20AF3CB7FF67}"/>
              </c:ext>
            </c:extLst>
          </c:dPt>
          <c:dPt>
            <c:idx val="4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2E2A-4C56-B45C-20AF3CB7FF67}"/>
              </c:ext>
            </c:extLst>
          </c:dPt>
          <c:dPt>
            <c:idx val="5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2E2A-4C56-B45C-20AF3CB7FF67}"/>
              </c:ext>
            </c:extLst>
          </c:dPt>
          <c:cat>
            <c:strRef>
              <c:f>'19 南丁格尔圆饼图'!$B$3:$B$8</c:f>
              <c:strCache>
                <c:ptCount val="6"/>
                <c:pt idx="0">
                  <c:v>销售部</c:v>
                </c:pt>
                <c:pt idx="1">
                  <c:v>采购部</c:v>
                </c:pt>
                <c:pt idx="2">
                  <c:v>工程部</c:v>
                </c:pt>
                <c:pt idx="3">
                  <c:v>财务部</c:v>
                </c:pt>
                <c:pt idx="4">
                  <c:v> 行政部</c:v>
                </c:pt>
                <c:pt idx="5">
                  <c:v>人力部</c:v>
                </c:pt>
              </c:strCache>
            </c:strRef>
          </c:cat>
          <c:val>
            <c:numRef>
              <c:f>'19 南丁格尔圆饼图'!$C$3:$C$8</c:f>
              <c:numCache>
                <c:formatCode>0.0%</c:formatCode>
                <c:ptCount val="6"/>
                <c:pt idx="0">
                  <c:v>0.29199999999999998</c:v>
                </c:pt>
                <c:pt idx="1">
                  <c:v>0.22700000000000001</c:v>
                </c:pt>
                <c:pt idx="2">
                  <c:v>0.17499999999999999</c:v>
                </c:pt>
                <c:pt idx="3">
                  <c:v>0.13600000000000001</c:v>
                </c:pt>
                <c:pt idx="4">
                  <c:v>0.10299999999999999</c:v>
                </c:pt>
                <c:pt idx="5">
                  <c:v>6.7000000000000004E-2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2E2A-4C56-B45C-20AF3CB7FF67}"/>
            </c:ext>
          </c:extLst>
        </c:ser>
        <c:ser>
          <c:idx val="1"/>
          <c:order val="1"/>
          <c:tx>
            <c:strRef>
              <c:f>'19 南丁格尔圆饼图'!$D$2</c:f>
              <c:strCache>
                <c:ptCount val="1"/>
                <c:pt idx="0">
                  <c:v>占位1</c:v>
                </c:pt>
              </c:strCache>
            </c:strRef>
          </c:tx>
          <c:spPr>
            <a:noFill/>
            <a:ln>
              <a:noFill/>
            </a:ln>
          </c:spPr>
          <c:dPt>
            <c:idx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E-2E2A-4C56-B45C-20AF3CB7FF67}"/>
              </c:ext>
            </c:extLst>
          </c:dPt>
          <c:dPt>
            <c:idx val="1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0-2E2A-4C56-B45C-20AF3CB7FF67}"/>
              </c:ext>
            </c:extLst>
          </c:dPt>
          <c:dPt>
            <c:idx val="2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2-2E2A-4C56-B45C-20AF3CB7FF67}"/>
              </c:ext>
            </c:extLst>
          </c:dPt>
          <c:dPt>
            <c:idx val="3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4-2E2A-4C56-B45C-20AF3CB7FF67}"/>
              </c:ext>
            </c:extLst>
          </c:dPt>
          <c:dPt>
            <c:idx val="4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6-2E2A-4C56-B45C-20AF3CB7FF67}"/>
              </c:ext>
            </c:extLst>
          </c:dPt>
          <c:dPt>
            <c:idx val="5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8-2E2A-4C56-B45C-20AF3CB7FF67}"/>
              </c:ext>
            </c:extLst>
          </c:dPt>
          <c:cat>
            <c:strRef>
              <c:f>'19 南丁格尔圆饼图'!$B$3:$B$8</c:f>
              <c:strCache>
                <c:ptCount val="6"/>
                <c:pt idx="0">
                  <c:v>销售部</c:v>
                </c:pt>
                <c:pt idx="1">
                  <c:v>采购部</c:v>
                </c:pt>
                <c:pt idx="2">
                  <c:v>工程部</c:v>
                </c:pt>
                <c:pt idx="3">
                  <c:v>财务部</c:v>
                </c:pt>
                <c:pt idx="4">
                  <c:v> 行政部</c:v>
                </c:pt>
                <c:pt idx="5">
                  <c:v>人力部</c:v>
                </c:pt>
              </c:strCache>
            </c:strRef>
          </c:cat>
          <c:val>
            <c:numRef>
              <c:f>'19 南丁格尔圆饼图'!$D$3:$D$8</c:f>
              <c:numCache>
                <c:formatCode>0.0%</c:formatCode>
                <c:ptCount val="6"/>
                <c:pt idx="0">
                  <c:v>0.29199999999999998</c:v>
                </c:pt>
                <c:pt idx="1">
                  <c:v>0.22700000000000001</c:v>
                </c:pt>
                <c:pt idx="2">
                  <c:v>0.17499999999999999</c:v>
                </c:pt>
                <c:pt idx="3">
                  <c:v>0.13600000000000001</c:v>
                </c:pt>
                <c:pt idx="4">
                  <c:v>0.10299999999999999</c:v>
                </c:pt>
                <c:pt idx="5">
                  <c:v>6.7000000000000004E-2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9-2E2A-4C56-B45C-20AF3CB7FF67}"/>
            </c:ext>
          </c:extLst>
        </c:ser>
        <c:ser>
          <c:idx val="2"/>
          <c:order val="2"/>
          <c:tx>
            <c:strRef>
              <c:f>'19 南丁格尔圆饼图'!$E$2</c:f>
              <c:strCache>
                <c:ptCount val="1"/>
                <c:pt idx="0">
                  <c:v>占位2</c:v>
                </c:pt>
              </c:strCache>
            </c:strRef>
          </c:tx>
          <c:spPr>
            <a:noFill/>
            <a:ln>
              <a:noFill/>
            </a:ln>
          </c:spPr>
          <c:dPt>
            <c:idx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B-2E2A-4C56-B45C-20AF3CB7FF67}"/>
              </c:ext>
            </c:extLst>
          </c:dPt>
          <c:dPt>
            <c:idx val="1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D-2E2A-4C56-B45C-20AF3CB7FF67}"/>
              </c:ext>
            </c:extLst>
          </c:dPt>
          <c:dPt>
            <c:idx val="2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F-2E2A-4C56-B45C-20AF3CB7FF67}"/>
              </c:ext>
            </c:extLst>
          </c:dPt>
          <c:dPt>
            <c:idx val="3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1-2E2A-4C56-B45C-20AF3CB7FF67}"/>
              </c:ext>
            </c:extLst>
          </c:dPt>
          <c:dPt>
            <c:idx val="4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3-2E2A-4C56-B45C-20AF3CB7FF67}"/>
              </c:ext>
            </c:extLst>
          </c:dPt>
          <c:dPt>
            <c:idx val="5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5-2E2A-4C56-B45C-20AF3CB7FF67}"/>
              </c:ext>
            </c:extLst>
          </c:dPt>
          <c:cat>
            <c:strRef>
              <c:f>'19 南丁格尔圆饼图'!$B$3:$B$8</c:f>
              <c:strCache>
                <c:ptCount val="6"/>
                <c:pt idx="0">
                  <c:v>销售部</c:v>
                </c:pt>
                <c:pt idx="1">
                  <c:v>采购部</c:v>
                </c:pt>
                <c:pt idx="2">
                  <c:v>工程部</c:v>
                </c:pt>
                <c:pt idx="3">
                  <c:v>财务部</c:v>
                </c:pt>
                <c:pt idx="4">
                  <c:v> 行政部</c:v>
                </c:pt>
                <c:pt idx="5">
                  <c:v>人力部</c:v>
                </c:pt>
              </c:strCache>
            </c:strRef>
          </c:cat>
          <c:val>
            <c:numRef>
              <c:f>'19 南丁格尔圆饼图'!$E$3:$E$8</c:f>
              <c:numCache>
                <c:formatCode>0.0%</c:formatCode>
                <c:ptCount val="6"/>
                <c:pt idx="0">
                  <c:v>0.29199999999999998</c:v>
                </c:pt>
                <c:pt idx="1">
                  <c:v>0.22700000000000001</c:v>
                </c:pt>
                <c:pt idx="2">
                  <c:v>0.17499999999999999</c:v>
                </c:pt>
                <c:pt idx="3">
                  <c:v>0.13600000000000001</c:v>
                </c:pt>
                <c:pt idx="4">
                  <c:v>0.10299999999999999</c:v>
                </c:pt>
                <c:pt idx="5">
                  <c:v>6.7000000000000004E-2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6-2E2A-4C56-B45C-20AF3CB7FF67}"/>
            </c:ext>
          </c:extLst>
        </c:ser>
        <c:ser>
          <c:idx val="3"/>
          <c:order val="3"/>
          <c:tx>
            <c:strRef>
              <c:f>'19 南丁格尔圆饼图'!$F$2</c:f>
              <c:strCache>
                <c:ptCount val="1"/>
                <c:pt idx="0">
                  <c:v>占位3</c:v>
                </c:pt>
              </c:strCache>
            </c:strRef>
          </c:tx>
          <c:spPr>
            <a:noFill/>
            <a:ln>
              <a:noFill/>
            </a:ln>
          </c:spPr>
          <c:dPt>
            <c:idx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8-2E2A-4C56-B45C-20AF3CB7FF67}"/>
              </c:ext>
            </c:extLst>
          </c:dPt>
          <c:dPt>
            <c:idx val="1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A-2E2A-4C56-B45C-20AF3CB7FF67}"/>
              </c:ext>
            </c:extLst>
          </c:dPt>
          <c:dPt>
            <c:idx val="2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C-2E2A-4C56-B45C-20AF3CB7FF67}"/>
              </c:ext>
            </c:extLst>
          </c:dPt>
          <c:dPt>
            <c:idx val="3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E-2E2A-4C56-B45C-20AF3CB7FF67}"/>
              </c:ext>
            </c:extLst>
          </c:dPt>
          <c:dPt>
            <c:idx val="4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0-2E2A-4C56-B45C-20AF3CB7FF67}"/>
              </c:ext>
            </c:extLst>
          </c:dPt>
          <c:dPt>
            <c:idx val="5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2-2E2A-4C56-B45C-20AF3CB7FF67}"/>
              </c:ext>
            </c:extLst>
          </c:dPt>
          <c:cat>
            <c:strRef>
              <c:f>'19 南丁格尔圆饼图'!$B$3:$B$8</c:f>
              <c:strCache>
                <c:ptCount val="6"/>
                <c:pt idx="0">
                  <c:v>销售部</c:v>
                </c:pt>
                <c:pt idx="1">
                  <c:v>采购部</c:v>
                </c:pt>
                <c:pt idx="2">
                  <c:v>工程部</c:v>
                </c:pt>
                <c:pt idx="3">
                  <c:v>财务部</c:v>
                </c:pt>
                <c:pt idx="4">
                  <c:v> 行政部</c:v>
                </c:pt>
                <c:pt idx="5">
                  <c:v>人力部</c:v>
                </c:pt>
              </c:strCache>
            </c:strRef>
          </c:cat>
          <c:val>
            <c:numRef>
              <c:f>'19 南丁格尔圆饼图'!$F$3:$F$8</c:f>
              <c:numCache>
                <c:formatCode>0.0%</c:formatCode>
                <c:ptCount val="6"/>
                <c:pt idx="0">
                  <c:v>0.29199999999999998</c:v>
                </c:pt>
                <c:pt idx="1">
                  <c:v>0.22700000000000001</c:v>
                </c:pt>
                <c:pt idx="2">
                  <c:v>0.17499999999999999</c:v>
                </c:pt>
                <c:pt idx="3">
                  <c:v>0.13600000000000001</c:v>
                </c:pt>
                <c:pt idx="4">
                  <c:v>0.10299999999999999</c:v>
                </c:pt>
                <c:pt idx="5">
                  <c:v>6.7000000000000004E-2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33-2E2A-4C56-B45C-20AF3CB7FF67}"/>
            </c:ext>
          </c:extLst>
        </c:ser>
        <c:ser>
          <c:idx val="4"/>
          <c:order val="4"/>
          <c:tx>
            <c:strRef>
              <c:f>'19 南丁格尔圆饼图'!$G$2</c:f>
              <c:strCache>
                <c:ptCount val="1"/>
                <c:pt idx="0">
                  <c:v>占位4</c:v>
                </c:pt>
              </c:strCache>
            </c:strRef>
          </c:tx>
          <c:spPr>
            <a:noFill/>
            <a:ln>
              <a:noFill/>
            </a:ln>
          </c:spPr>
          <c:dPt>
            <c:idx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5-2E2A-4C56-B45C-20AF3CB7FF67}"/>
              </c:ext>
            </c:extLst>
          </c:dPt>
          <c:dPt>
            <c:idx val="1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7-2E2A-4C56-B45C-20AF3CB7FF67}"/>
              </c:ext>
            </c:extLst>
          </c:dPt>
          <c:dPt>
            <c:idx val="2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9-2E2A-4C56-B45C-20AF3CB7FF67}"/>
              </c:ext>
            </c:extLst>
          </c:dPt>
          <c:dPt>
            <c:idx val="3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B-2E2A-4C56-B45C-20AF3CB7FF67}"/>
              </c:ext>
            </c:extLst>
          </c:dPt>
          <c:dPt>
            <c:idx val="4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D-2E2A-4C56-B45C-20AF3CB7FF67}"/>
              </c:ext>
            </c:extLst>
          </c:dPt>
          <c:dPt>
            <c:idx val="5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F-2E2A-4C56-B45C-20AF3CB7FF67}"/>
              </c:ext>
            </c:extLst>
          </c:dPt>
          <c:cat>
            <c:strRef>
              <c:f>'19 南丁格尔圆饼图'!$B$3:$B$8</c:f>
              <c:strCache>
                <c:ptCount val="6"/>
                <c:pt idx="0">
                  <c:v>销售部</c:v>
                </c:pt>
                <c:pt idx="1">
                  <c:v>采购部</c:v>
                </c:pt>
                <c:pt idx="2">
                  <c:v>工程部</c:v>
                </c:pt>
                <c:pt idx="3">
                  <c:v>财务部</c:v>
                </c:pt>
                <c:pt idx="4">
                  <c:v> 行政部</c:v>
                </c:pt>
                <c:pt idx="5">
                  <c:v>人力部</c:v>
                </c:pt>
              </c:strCache>
            </c:strRef>
          </c:cat>
          <c:val>
            <c:numRef>
              <c:f>'19 南丁格尔圆饼图'!$G$3:$G$8</c:f>
              <c:numCache>
                <c:formatCode>0.0%</c:formatCode>
                <c:ptCount val="6"/>
                <c:pt idx="0">
                  <c:v>0.29199999999999998</c:v>
                </c:pt>
                <c:pt idx="1">
                  <c:v>0.22700000000000001</c:v>
                </c:pt>
                <c:pt idx="2">
                  <c:v>0.17499999999999999</c:v>
                </c:pt>
                <c:pt idx="3">
                  <c:v>0.13600000000000001</c:v>
                </c:pt>
                <c:pt idx="4">
                  <c:v>0.10299999999999999</c:v>
                </c:pt>
                <c:pt idx="5">
                  <c:v>6.7000000000000004E-2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40-2E2A-4C56-B45C-20AF3CB7FF67}"/>
            </c:ext>
          </c:extLst>
        </c:ser>
        <c:ser>
          <c:idx val="5"/>
          <c:order val="5"/>
          <c:tx>
            <c:strRef>
              <c:f>'19 南丁格尔圆饼图'!$H$2</c:f>
              <c:strCache>
                <c:ptCount val="1"/>
                <c:pt idx="0">
                  <c:v>占位5</c:v>
                </c:pt>
              </c:strCache>
            </c:strRef>
          </c:tx>
          <c:spPr>
            <a:ln>
              <a:noFill/>
            </a:ln>
          </c:spPr>
          <c:dPt>
            <c:idx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2-2E2A-4C56-B45C-20AF3CB7FF67}"/>
              </c:ext>
            </c:extLst>
          </c:dPt>
          <c:dPt>
            <c:idx val="1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4-2E2A-4C56-B45C-20AF3CB7FF67}"/>
              </c:ext>
            </c:extLst>
          </c:dPt>
          <c:dPt>
            <c:idx val="2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6-2E2A-4C56-B45C-20AF3CB7FF67}"/>
              </c:ext>
            </c:extLst>
          </c:dPt>
          <c:dPt>
            <c:idx val="3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8-2E2A-4C56-B45C-20AF3CB7FF67}"/>
              </c:ext>
            </c:extLst>
          </c:dPt>
          <c:dPt>
            <c:idx val="4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A-2E2A-4C56-B45C-20AF3CB7FF67}"/>
              </c:ext>
            </c:extLst>
          </c:dPt>
          <c:dPt>
            <c:idx val="5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C-2E2A-4C56-B45C-20AF3CB7FF67}"/>
              </c:ext>
            </c:extLst>
          </c:dPt>
          <c:cat>
            <c:strRef>
              <c:f>'19 南丁格尔圆饼图'!$B$3:$B$8</c:f>
              <c:strCache>
                <c:ptCount val="6"/>
                <c:pt idx="0">
                  <c:v>销售部</c:v>
                </c:pt>
                <c:pt idx="1">
                  <c:v>采购部</c:v>
                </c:pt>
                <c:pt idx="2">
                  <c:v>工程部</c:v>
                </c:pt>
                <c:pt idx="3">
                  <c:v>财务部</c:v>
                </c:pt>
                <c:pt idx="4">
                  <c:v> 行政部</c:v>
                </c:pt>
                <c:pt idx="5">
                  <c:v>人力部</c:v>
                </c:pt>
              </c:strCache>
            </c:strRef>
          </c:cat>
          <c:val>
            <c:numRef>
              <c:f>'19 南丁格尔圆饼图'!$H$3:$H$8</c:f>
              <c:numCache>
                <c:formatCode>0.0%</c:formatCode>
                <c:ptCount val="6"/>
                <c:pt idx="0">
                  <c:v>0.29199999999999998</c:v>
                </c:pt>
                <c:pt idx="1">
                  <c:v>0.22700000000000001</c:v>
                </c:pt>
                <c:pt idx="2">
                  <c:v>0.17499999999999999</c:v>
                </c:pt>
                <c:pt idx="3">
                  <c:v>0.13600000000000001</c:v>
                </c:pt>
                <c:pt idx="4">
                  <c:v>0.10299999999999999</c:v>
                </c:pt>
                <c:pt idx="5">
                  <c:v>6.7000000000000004E-2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4D-2E2A-4C56-B45C-20AF3CB7FF67}"/>
            </c:ext>
          </c:extLst>
        </c:ser>
        <c:ser>
          <c:idx val="6"/>
          <c:order val="6"/>
          <c:tx>
            <c:strRef>
              <c:f>'19 南丁格尔圆饼图'!$I$2</c:f>
              <c:strCache>
                <c:ptCount val="1"/>
                <c:pt idx="0">
                  <c:v>占位6</c:v>
                </c:pt>
              </c:strCache>
            </c:strRef>
          </c:tx>
          <c:spPr>
            <a:ln>
              <a:noFill/>
            </a:ln>
          </c:spPr>
          <c:dPt>
            <c:idx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F-2E2A-4C56-B45C-20AF3CB7FF67}"/>
              </c:ext>
            </c:extLst>
          </c:dPt>
          <c:dPt>
            <c:idx val="1"/>
            <c:spPr>
              <a:solidFill>
                <a:srgbClr val="1A1E43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1-2E2A-4C56-B45C-20AF3CB7FF67}"/>
              </c:ext>
            </c:extLst>
          </c:dPt>
          <c:dPt>
            <c:idx val="2"/>
            <c:spPr>
              <a:solidFill>
                <a:srgbClr val="1A1E43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3-2E2A-4C56-B45C-20AF3CB7FF67}"/>
              </c:ext>
            </c:extLst>
          </c:dPt>
          <c:dPt>
            <c:idx val="3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5-2E2A-4C56-B45C-20AF3CB7FF67}"/>
              </c:ext>
            </c:extLst>
          </c:dPt>
          <c:dPt>
            <c:idx val="4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7-2E2A-4C56-B45C-20AF3CB7FF67}"/>
              </c:ext>
            </c:extLst>
          </c:dPt>
          <c:dPt>
            <c:idx val="5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9-2E2A-4C56-B45C-20AF3CB7FF67}"/>
              </c:ext>
            </c:extLst>
          </c:dPt>
          <c:dLbls>
            <c:dLbl>
              <c:idx val="0"/>
              <c:layout>
                <c:manualLayout>
                  <c:x val="0.1642156862745098"/>
                  <c:y val="-0.10316959765778665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rgbClr val="E74E69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89D722F-8507-4119-B343-D8CE80AE0F05}" type="CELLRANGE">
                      <a:rPr lang="zh-CN" altLang="en-US">
                        <a:solidFill>
                          <a:schemeClr val="bg1"/>
                        </a:solidFill>
                      </a:rPr>
                      <a:pPr>
                        <a:defRPr sz="900" b="0" i="0" u="none" strike="noStrike" kern="1200" baseline="0">
                          <a:solidFill>
                            <a:srgbClr val="E74E69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[CELLRANGE]</a:t>
                    </a:fld>
                    <a:r>
                      <a:rPr lang="zh-CN" altLang="en-US" baseline="0">
                        <a:solidFill>
                          <a:schemeClr val="bg1"/>
                        </a:solidFill>
                      </a:rPr>
                      <a:t> </a:t>
                    </a:r>
                  </a:p>
                  <a:p>
                    <a:pPr>
                      <a:defRPr sz="900" b="0" i="0" u="none" strike="noStrike" kern="1200" baseline="0">
                        <a:solidFill>
                          <a:srgbClr val="E74E69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90142E1-2FC6-4A62-A2E5-80830394E3DF}" type="VALUE">
                      <a:rPr lang="en-US" altLang="zh-CN" baseline="0">
                        <a:solidFill>
                          <a:srgbClr val="E74E69"/>
                        </a:solidFill>
                      </a:rPr>
                      <a:pPr>
                        <a:defRPr sz="900" b="0" i="0" u="none" strike="noStrike" kern="1200" baseline="0">
                          <a:solidFill>
                            <a:srgbClr val="E74E69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[值]</a:t>
                    </a:fld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Val val="1"/>
              <c:separator> </c:separator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F-2E2A-4C56-B45C-20AF3CB7FF67}"/>
                </c:ext>
              </c:extLst>
            </c:dLbl>
            <c:dLbl>
              <c:idx val="1"/>
              <c:layout>
                <c:manualLayout>
                  <c:x val="0.15441176470588239"/>
                  <c:y val="-6.879606879606881E-2"/>
                </c:manualLayout>
              </c:layout>
              <c:tx>
                <c:rich>
                  <a:bodyPr/>
                  <a:lstStyle/>
                  <a:p>
                    <a:fld id="{E9DF521A-3A5C-4B5A-AC92-F6A4FF787FFA}" type="CELLRANGE">
                      <a:rPr lang="zh-CN" altLang="en-US" baseline="0"/>
                      <a:pPr/>
                      <a:t>[CELLRANGE]</a:t>
                    </a:fld>
                    <a:r>
                      <a:rPr lang="zh-CN" altLang="en-US" baseline="0"/>
                      <a:t> </a:t>
                    </a:r>
                  </a:p>
                  <a:p>
                    <a:fld id="{B4423EBE-DDD0-41CB-982A-D8C2CAEB6893}" type="VALUE">
                      <a:rPr lang="en-US" altLang="zh-CN" baseline="0">
                        <a:solidFill>
                          <a:srgbClr val="F5C353"/>
                        </a:solidFill>
                      </a:rPr>
                      <a:pPr/>
                      <a:t>[值]</a:t>
                    </a:fld>
                    <a:endParaRPr lang="zh-CN" altLang="en-US"/>
                  </a:p>
                </c:rich>
              </c:tx>
              <c:showVal val="1"/>
              <c:separator> </c:separator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1-2E2A-4C56-B45C-20AF3CB7FF67}"/>
                </c:ext>
              </c:extLst>
            </c:dLbl>
            <c:dLbl>
              <c:idx val="2"/>
              <c:layout>
                <c:manualLayout>
                  <c:x val="-9.31372549019608E-2"/>
                  <c:y val="-1.6380016380016505E-2"/>
                </c:manualLayout>
              </c:layout>
              <c:tx>
                <c:rich>
                  <a:bodyPr/>
                  <a:lstStyle/>
                  <a:p>
                    <a:fld id="{775755A0-6AB9-4288-8506-930F3C49AB2E}" type="CELLRANGE">
                      <a:rPr lang="zh-CN" altLang="en-US" baseline="0"/>
                      <a:pPr/>
                      <a:t>[CELLRANGE]</a:t>
                    </a:fld>
                    <a:endParaRPr lang="zh-CN" altLang="en-US" baseline="0"/>
                  </a:p>
                  <a:p>
                    <a:r>
                      <a:rPr lang="zh-CN" altLang="en-US" baseline="0"/>
                      <a:t> </a:t>
                    </a:r>
                    <a:fld id="{BBF08284-5D7B-459C-89BA-6DCF20D85AB6}" type="VALUE">
                      <a:rPr lang="en-US" altLang="zh-CN" baseline="0">
                        <a:solidFill>
                          <a:srgbClr val="11A7AD"/>
                        </a:solidFill>
                      </a:rPr>
                      <a:pPr/>
                      <a:t>[值]</a:t>
                    </a:fld>
                    <a:endParaRPr lang="zh-CN" altLang="en-US" baseline="0"/>
                  </a:p>
                </c:rich>
              </c:tx>
              <c:showVal val="1"/>
              <c:separator> </c:separator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3-2E2A-4C56-B45C-20AF3CB7FF67}"/>
                </c:ext>
              </c:extLst>
            </c:dLbl>
            <c:dLbl>
              <c:idx val="3"/>
              <c:layout>
                <c:manualLayout>
                  <c:x val="-4.901960784313731E-2"/>
                  <c:y val="4.586404586404581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bg1">
                            <a:lumMod val="9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50C3BCD-1648-412F-A5D2-09CB3D8A7BD6}" type="CELLRANGE">
                      <a:rPr lang="zh-CN" altLang="en-US" baseline="0"/>
                      <a:pPr>
                        <a:defRPr sz="900" b="0" i="0" u="none" strike="noStrike" kern="1200" baseline="0">
                          <a:solidFill>
                            <a:schemeClr val="bg1">
                              <a:lumMod val="9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[CELLRANGE]</a:t>
                    </a:fld>
                    <a:r>
                      <a:rPr lang="zh-CN" altLang="en-US" baseline="0"/>
                      <a:t> </a:t>
                    </a:r>
                  </a:p>
                  <a:p>
                    <a:pPr>
                      <a:defRPr sz="900" b="0" i="0" u="none" strike="noStrike" kern="1200" baseline="0">
                        <a:solidFill>
                          <a:schemeClr val="bg1">
                            <a:lumMod val="9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5395DF8-6F2C-4B13-815E-65986A8E8190}" type="VALUE">
                      <a:rPr lang="en-US" altLang="zh-CN" baseline="0">
                        <a:solidFill>
                          <a:srgbClr val="0070C0"/>
                        </a:solidFill>
                      </a:rPr>
                      <a:pPr>
                        <a:defRPr sz="900" b="0" i="0" u="none" strike="noStrike" kern="1200" baseline="0">
                          <a:solidFill>
                            <a:schemeClr val="bg1">
                              <a:lumMod val="9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[值]</a:t>
                    </a:fld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Val val="1"/>
              <c:separator> </c:separator>
              <c:extLst xmlns:c16r2="http://schemas.microsoft.com/office/drawing/2015/06/chart">
                <c:ext xmlns:c15="http://schemas.microsoft.com/office/drawing/2012/chart" uri="{CE6537A1-D6FC-4f65-9D91-7224C49458BB}">
                  <c15:layout>
                    <c:manualLayout>
                      <c:w val="0.15191176470588236"/>
                      <c:h val="0.10216229113866909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5-2E2A-4C56-B45C-20AF3CB7FF67}"/>
                </c:ext>
              </c:extLst>
            </c:dLbl>
            <c:dLbl>
              <c:idx val="4"/>
              <c:layout>
                <c:manualLayout>
                  <c:x val="-0.11029411764705886"/>
                  <c:y val="2.620802620802621E-2"/>
                </c:manualLayout>
              </c:layout>
              <c:tx>
                <c:rich>
                  <a:bodyPr/>
                  <a:lstStyle/>
                  <a:p>
                    <a:fld id="{9BC92A1B-8756-41FB-8DFF-D2561999E3E9}" type="CELLRANGE">
                      <a:rPr lang="zh-CN" altLang="en-US"/>
                      <a:pPr/>
                      <a:t>[CELLRANGE]</a:t>
                    </a:fld>
                    <a:r>
                      <a:rPr lang="zh-CN" altLang="en-US" baseline="0"/>
                      <a:t> </a:t>
                    </a:r>
                  </a:p>
                  <a:p>
                    <a:fld id="{470D669A-74D2-440E-883D-B71C9F575E2A}" type="VALUE">
                      <a:rPr lang="en-US" altLang="zh-CN" baseline="0">
                        <a:solidFill>
                          <a:srgbClr val="37A2DA"/>
                        </a:solidFill>
                      </a:rPr>
                      <a:pPr/>
                      <a:t>[值]</a:t>
                    </a:fld>
                    <a:endParaRPr lang="zh-CN" altLang="en-US"/>
                  </a:p>
                </c:rich>
              </c:tx>
              <c:showVal val="1"/>
              <c:separator> </c:separator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7-2E2A-4C56-B45C-20AF3CB7FF67}"/>
                </c:ext>
              </c:extLst>
            </c:dLbl>
            <c:dLbl>
              <c:idx val="5"/>
              <c:layout>
                <c:manualLayout>
                  <c:x val="-7.1078431372549017E-2"/>
                  <c:y val="3.603603603603603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rgbClr val="7030A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5047D29-3253-4B63-A433-73802D208BC5}" type="CELLRANGE">
                      <a:rPr lang="zh-CN" altLang="en-US">
                        <a:solidFill>
                          <a:schemeClr val="bg1"/>
                        </a:solidFill>
                      </a:rPr>
                      <a:pPr>
                        <a:defRPr sz="900" b="0" i="0" u="none" strike="noStrike" kern="1200" baseline="0">
                          <a:solidFill>
                            <a:srgbClr val="7030A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[CELLRANGE]</a:t>
                    </a:fld>
                    <a:r>
                      <a:rPr lang="zh-CN" altLang="en-US" baseline="0">
                        <a:solidFill>
                          <a:schemeClr val="bg1"/>
                        </a:solidFill>
                      </a:rPr>
                      <a:t> </a:t>
                    </a:r>
                  </a:p>
                  <a:p>
                    <a:pPr>
                      <a:defRPr sz="900" b="0" i="0" u="none" strike="noStrike" kern="1200" baseline="0">
                        <a:solidFill>
                          <a:srgbClr val="7030A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2DBA85B-4C92-4F84-8A29-DE3510AAEF75}" type="VALUE">
                      <a:rPr lang="en-US" altLang="zh-CN" baseline="0">
                        <a:solidFill>
                          <a:srgbClr val="7030A0"/>
                        </a:solidFill>
                      </a:rPr>
                      <a:pPr>
                        <a:defRPr sz="900" b="0" i="0" u="none" strike="noStrike" kern="1200" baseline="0">
                          <a:solidFill>
                            <a:srgbClr val="7030A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[值]</a:t>
                    </a:fld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Val val="1"/>
              <c:separator> </c:separator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9-2E2A-4C56-B45C-20AF3CB7FF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Val val="1"/>
            <c:separator> </c:separator>
            <c:extLst xmlns:c16r2="http://schemas.microsoft.com/office/drawing/2015/06/chart"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'19 南丁格尔圆饼图'!$B$3:$B$8</c:f>
              <c:strCache>
                <c:ptCount val="6"/>
                <c:pt idx="0">
                  <c:v>销售部</c:v>
                </c:pt>
                <c:pt idx="1">
                  <c:v>采购部</c:v>
                </c:pt>
                <c:pt idx="2">
                  <c:v>工程部</c:v>
                </c:pt>
                <c:pt idx="3">
                  <c:v>财务部</c:v>
                </c:pt>
                <c:pt idx="4">
                  <c:v> 行政部</c:v>
                </c:pt>
                <c:pt idx="5">
                  <c:v>人力部</c:v>
                </c:pt>
              </c:strCache>
            </c:strRef>
          </c:cat>
          <c:val>
            <c:numRef>
              <c:f>'19 南丁格尔圆饼图'!$I$3:$I$8</c:f>
              <c:numCache>
                <c:formatCode>0.0%</c:formatCode>
                <c:ptCount val="6"/>
                <c:pt idx="0">
                  <c:v>0.29199999999999998</c:v>
                </c:pt>
                <c:pt idx="1">
                  <c:v>0.22700000000000001</c:v>
                </c:pt>
                <c:pt idx="2">
                  <c:v>0.17499999999999999</c:v>
                </c:pt>
                <c:pt idx="3">
                  <c:v>0.13600000000000001</c:v>
                </c:pt>
                <c:pt idx="4">
                  <c:v>0.10299999999999999</c:v>
                </c:pt>
                <c:pt idx="5">
                  <c:v>6.7000000000000004E-2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datalabelsRange>
                <c15:f>'19 南丁格尔圆饼图'!$B$3:$B$8</c15:f>
                <c15:dlblRangeCache>
                  <c:ptCount val="6"/>
                  <c:pt idx="0">
                    <c:v>销售部</c:v>
                  </c:pt>
                  <c:pt idx="1">
                    <c:v>采购部</c:v>
                  </c:pt>
                  <c:pt idx="2">
                    <c:v>工程部</c:v>
                  </c:pt>
                  <c:pt idx="3">
                    <c:v>财务部</c:v>
                  </c:pt>
                  <c:pt idx="4">
                    <c:v> 行政部</c:v>
                  </c:pt>
                  <c:pt idx="5">
                    <c:v>人力部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A-2E2A-4C56-B45C-20AF3CB7FF67}"/>
            </c:ext>
          </c:extLst>
        </c:ser>
        <c:dLbls/>
        <c:firstSliceAng val="0"/>
      </c:pieChart>
      <c:spPr>
        <a:noFill/>
        <a:ln>
          <a:noFill/>
        </a:ln>
        <a:effectLst/>
      </c:spPr>
    </c:plotArea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A1E43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autoTitleDeleted val="1"/>
    <c:plotArea>
      <c:layout>
        <c:manualLayout>
          <c:layoutTarget val="inner"/>
          <c:xMode val="edge"/>
          <c:yMode val="edge"/>
          <c:x val="0.2799972981318512"/>
          <c:y val="0.25391940258081991"/>
          <c:w val="0.47595712300668286"/>
          <c:h val="0.76539078009178552"/>
        </c:manualLayout>
      </c:layout>
      <c:pieChart>
        <c:varyColors val="1"/>
        <c:ser>
          <c:idx val="3"/>
          <c:order val="3"/>
          <c:tx>
            <c:strRef>
              <c:f>'22 仪表盘图'!$F$2</c:f>
              <c:strCache>
                <c:ptCount val="1"/>
                <c:pt idx="0">
                  <c:v>大小</c:v>
                </c:pt>
              </c:strCache>
            </c:strRef>
          </c:tx>
          <c:spPr>
            <a:noFill/>
          </c:spPr>
          <c:dPt>
            <c:idx val="1"/>
            <c:spPr>
              <a:noFill/>
              <a:ln w="12700">
                <a:solidFill>
                  <a:schemeClr val="bg1">
                    <a:lumMod val="95000"/>
                  </a:schemeClr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7C-7803-454E-9EDE-F71D2C49F806}"/>
              </c:ext>
            </c:extLst>
          </c:dPt>
          <c:val>
            <c:numRef>
              <c:f>'22 仪表盘图'!$F$3:$F$5</c:f>
              <c:numCache>
                <c:formatCode>General</c:formatCode>
                <c:ptCount val="3"/>
                <c:pt idx="0">
                  <c:v>70.2</c:v>
                </c:pt>
                <c:pt idx="1">
                  <c:v>0</c:v>
                </c:pt>
                <c:pt idx="2">
                  <c:v>289.8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76-7803-454E-9EDE-F71D2C49F806}"/>
            </c:ext>
          </c:extLst>
        </c:ser>
        <c:dLbls/>
        <c:firstSliceAng val="225"/>
      </c:pieChart>
      <c:doughnutChart>
        <c:varyColors val="1"/>
        <c:ser>
          <c:idx val="1"/>
          <c:order val="0"/>
          <c:tx>
            <c:strRef>
              <c:f>'22 仪表盘图'!$C$2</c:f>
              <c:strCache>
                <c:ptCount val="1"/>
                <c:pt idx="0">
                  <c:v>仪表盘</c:v>
                </c:pt>
              </c:strCache>
            </c:strRef>
          </c:tx>
          <c:spPr>
            <a:solidFill>
              <a:srgbClr val="1A1E43"/>
            </a:solidFill>
          </c:spPr>
          <c:dLbls>
            <c:dLbl>
              <c:idx val="0"/>
              <c:tx>
                <c:rich>
                  <a:bodyPr/>
                  <a:lstStyle/>
                  <a:p>
                    <a:fld id="{1E4D9279-2847-4468-AE5F-FD6DE3967073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D-7803-454E-9EDE-F71D2C49F80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04693DE-E2C3-4A30-A638-599D26462E8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E-7803-454E-9EDE-F71D2C49F80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10E60FC-7A55-4C81-9B03-16F494B2BF8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7803-454E-9EDE-F71D2C49F80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C7FF29E-FCE0-4497-A00D-D2714DA1074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0-7803-454E-9EDE-F71D2C49F80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303099C-BC1C-43E9-9D01-7DA818C43A4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7803-454E-9EDE-F71D2C49F80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8718AAE-4366-47E1-9A71-B8E25730703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2-7803-454E-9EDE-F71D2C49F80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02BDF09-C850-4DA0-A927-35CECA9F0D5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7803-454E-9EDE-F71D2C49F80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AA771A5-A889-4DBA-84F6-77321472282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4-7803-454E-9EDE-F71D2C49F80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C008164-EC41-4AF4-BDDF-DE750054E0C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7803-454E-9EDE-F71D2C49F80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5DB9CB29-6808-4D60-BA2E-B495C7300B8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6-7803-454E-9EDE-F71D2C49F80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2C55B6D-3218-485D-AF7F-579D4C9D2C3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7803-454E-9EDE-F71D2C49F80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A285622B-2335-47A1-8E15-5CB35A5CC14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8-7803-454E-9EDE-F71D2C49F80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DAC906EC-170A-48C7-B289-A125196DF33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7803-454E-9EDE-F71D2C49F806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0ED0BD7-3D8F-4341-9155-A4ADF830E4E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A-7803-454E-9EDE-F71D2C49F80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C275B30E-6260-40CE-B168-7C1470AAEC7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7803-454E-9EDE-F71D2C49F806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3A06C3F3-2799-4899-8E38-A460A16CE27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C-7803-454E-9EDE-F71D2C49F806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8C20C3DE-892C-46DA-B5FC-666E6CB4922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7803-454E-9EDE-F71D2C49F806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972D44D5-6EE8-4D92-8A9E-88BBBE06A05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E-7803-454E-9EDE-F71D2C49F806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0327CA5A-3712-49D5-B86C-EB98A8AE554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7803-454E-9EDE-F71D2C49F806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DD8DFFD6-521C-4A80-81BA-8C38ABEED70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0-7803-454E-9EDE-F71D2C49F806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6AC4BA77-D3F6-4AFB-8805-01B7A428837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7803-454E-9EDE-F71D2C49F806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D37D198A-BFB0-4D8A-AF8E-A0FF241568A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2-7803-454E-9EDE-F71D2C49F806}"/>
                </c:ext>
              </c:extLst>
            </c:dLbl>
            <c:delete val="1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>
                    <a:solidFill>
                      <a:schemeClr val="bg1">
                        <a:lumMod val="95000"/>
                      </a:schemeClr>
                    </a:solidFill>
                  </a:defRPr>
                </a:pPr>
                <a:endParaRPr lang="zh-CN"/>
              </a:p>
            </c:txPr>
            <c:extLst xmlns:c16r2="http://schemas.microsoft.com/office/drawing/2015/06/chart">
              <c:ext xmlns:c15="http://schemas.microsoft.com/office/drawing/2012/chart" uri="{CE6537A1-D6FC-4f65-9D91-7224C49458BB}">
                <c15:showDataLabelsRange val="1"/>
              </c:ext>
            </c:extLst>
          </c:dLbls>
          <c:val>
            <c:numRef>
              <c:f>'22 仪表盘图'!$C$3:$C$24</c:f>
              <c:numCache>
                <c:formatCode>General</c:formatCode>
                <c:ptCount val="22"/>
                <c:pt idx="0">
                  <c:v>0</c:v>
                </c:pt>
                <c:pt idx="1">
                  <c:v>27</c:v>
                </c:pt>
                <c:pt idx="2">
                  <c:v>0</c:v>
                </c:pt>
                <c:pt idx="3">
                  <c:v>27</c:v>
                </c:pt>
                <c:pt idx="4">
                  <c:v>0</c:v>
                </c:pt>
                <c:pt idx="5">
                  <c:v>27</c:v>
                </c:pt>
                <c:pt idx="6">
                  <c:v>0</c:v>
                </c:pt>
                <c:pt idx="7">
                  <c:v>27</c:v>
                </c:pt>
                <c:pt idx="8">
                  <c:v>0</c:v>
                </c:pt>
                <c:pt idx="9">
                  <c:v>27</c:v>
                </c:pt>
                <c:pt idx="10">
                  <c:v>0</c:v>
                </c:pt>
                <c:pt idx="11">
                  <c:v>27</c:v>
                </c:pt>
                <c:pt idx="12">
                  <c:v>0</c:v>
                </c:pt>
                <c:pt idx="13">
                  <c:v>27</c:v>
                </c:pt>
                <c:pt idx="14">
                  <c:v>0</c:v>
                </c:pt>
                <c:pt idx="15">
                  <c:v>27</c:v>
                </c:pt>
                <c:pt idx="16">
                  <c:v>0</c:v>
                </c:pt>
                <c:pt idx="17">
                  <c:v>27</c:v>
                </c:pt>
                <c:pt idx="18">
                  <c:v>0</c:v>
                </c:pt>
                <c:pt idx="19">
                  <c:v>27</c:v>
                </c:pt>
                <c:pt idx="20">
                  <c:v>0</c:v>
                </c:pt>
                <c:pt idx="21">
                  <c:v>90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datalabelsRange>
                <c15:f>'22 仪表盘图'!$B$3:$B$24</c15:f>
                <c15:dlblRangeCache>
                  <c:ptCount val="22"/>
                  <c:pt idx="0">
                    <c:v>50</c:v>
                  </c:pt>
                  <c:pt idx="2">
                    <c:v>60</c:v>
                  </c:pt>
                  <c:pt idx="4">
                    <c:v>70</c:v>
                  </c:pt>
                  <c:pt idx="6">
                    <c:v>80</c:v>
                  </c:pt>
                  <c:pt idx="8">
                    <c:v>90</c:v>
                  </c:pt>
                  <c:pt idx="10">
                    <c:v>100</c:v>
                  </c:pt>
                  <c:pt idx="12">
                    <c:v>110</c:v>
                  </c:pt>
                  <c:pt idx="14">
                    <c:v>120</c:v>
                  </c:pt>
                  <c:pt idx="16">
                    <c:v>130</c:v>
                  </c:pt>
                  <c:pt idx="18">
                    <c:v>140</c:v>
                  </c:pt>
                  <c:pt idx="20">
                    <c:v>150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E-7803-454E-9EDE-F71D2C49F806}"/>
            </c:ext>
          </c:extLst>
        </c:ser>
        <c:ser>
          <c:idx val="2"/>
          <c:order val="1"/>
          <c:tx>
            <c:strRef>
              <c:f>'22 仪表盘图'!$C$2</c:f>
              <c:strCache>
                <c:ptCount val="1"/>
                <c:pt idx="0">
                  <c:v>仪表盘</c:v>
                </c:pt>
              </c:strCache>
            </c:strRef>
          </c:tx>
          <c:spPr>
            <a:ln w="6350">
              <a:solidFill>
                <a:srgbClr val="1A1E43"/>
              </a:solidFill>
            </a:ln>
          </c:spPr>
          <c:dPt>
            <c:idx val="0"/>
            <c:spPr>
              <a:solidFill>
                <a:schemeClr val="accent1"/>
              </a:solidFill>
              <a:ln w="6350">
                <a:solidFill>
                  <a:srgbClr val="1A1E43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0-7803-454E-9EDE-F71D2C49F806}"/>
              </c:ext>
            </c:extLst>
          </c:dPt>
          <c:dPt>
            <c:idx val="1"/>
            <c:spPr>
              <a:solidFill>
                <a:srgbClr val="087E8B"/>
              </a:solidFill>
              <a:ln w="6350">
                <a:solidFill>
                  <a:srgbClr val="1A1E43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1-7803-454E-9EDE-F71D2C49F806}"/>
              </c:ext>
            </c:extLst>
          </c:dPt>
          <c:dPt>
            <c:idx val="2"/>
            <c:spPr>
              <a:solidFill>
                <a:schemeClr val="accent3"/>
              </a:solidFill>
              <a:ln w="6350">
                <a:solidFill>
                  <a:srgbClr val="1A1E43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2-7803-454E-9EDE-F71D2C49F806}"/>
              </c:ext>
            </c:extLst>
          </c:dPt>
          <c:dPt>
            <c:idx val="3"/>
            <c:spPr>
              <a:solidFill>
                <a:srgbClr val="087E8B"/>
              </a:solidFill>
              <a:ln w="6350">
                <a:solidFill>
                  <a:srgbClr val="1A1E43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3-7803-454E-9EDE-F71D2C49F806}"/>
              </c:ext>
            </c:extLst>
          </c:dPt>
          <c:dPt>
            <c:idx val="4"/>
            <c:spPr>
              <a:solidFill>
                <a:schemeClr val="accent5"/>
              </a:solidFill>
              <a:ln w="6350">
                <a:solidFill>
                  <a:srgbClr val="1A1E43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4-7803-454E-9EDE-F71D2C49F806}"/>
              </c:ext>
            </c:extLst>
          </c:dPt>
          <c:dPt>
            <c:idx val="5"/>
            <c:spPr>
              <a:solidFill>
                <a:srgbClr val="087E8B"/>
              </a:solidFill>
              <a:ln w="6350">
                <a:solidFill>
                  <a:srgbClr val="1A1E43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5-7803-454E-9EDE-F71D2C49F806}"/>
              </c:ext>
            </c:extLst>
          </c:dPt>
          <c:dPt>
            <c:idx val="6"/>
            <c:spPr>
              <a:solidFill>
                <a:schemeClr val="accent1">
                  <a:lumMod val="60000"/>
                </a:schemeClr>
              </a:solidFill>
              <a:ln w="6350">
                <a:solidFill>
                  <a:srgbClr val="1A1E43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6-7803-454E-9EDE-F71D2C49F806}"/>
              </c:ext>
            </c:extLst>
          </c:dPt>
          <c:dPt>
            <c:idx val="7"/>
            <c:spPr>
              <a:solidFill>
                <a:srgbClr val="FFC54D"/>
              </a:solidFill>
              <a:ln w="6350">
                <a:solidFill>
                  <a:srgbClr val="1A1E43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7-7803-454E-9EDE-F71D2C49F806}"/>
              </c:ext>
            </c:extLst>
          </c:dPt>
          <c:dPt>
            <c:idx val="8"/>
            <c:spPr>
              <a:solidFill>
                <a:schemeClr val="accent3">
                  <a:lumMod val="60000"/>
                </a:schemeClr>
              </a:solidFill>
              <a:ln w="6350">
                <a:solidFill>
                  <a:srgbClr val="1A1E43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8-7803-454E-9EDE-F71D2C49F806}"/>
              </c:ext>
            </c:extLst>
          </c:dPt>
          <c:dPt>
            <c:idx val="9"/>
            <c:spPr>
              <a:solidFill>
                <a:srgbClr val="FFC54D"/>
              </a:solidFill>
              <a:ln w="6350">
                <a:solidFill>
                  <a:srgbClr val="1A1E43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9-7803-454E-9EDE-F71D2C49F806}"/>
              </c:ext>
            </c:extLst>
          </c:dPt>
          <c:dPt>
            <c:idx val="10"/>
            <c:spPr>
              <a:solidFill>
                <a:schemeClr val="accent5">
                  <a:lumMod val="60000"/>
                </a:schemeClr>
              </a:solidFill>
              <a:ln w="6350">
                <a:solidFill>
                  <a:srgbClr val="1A1E43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A-7803-454E-9EDE-F71D2C49F806}"/>
              </c:ext>
            </c:extLst>
          </c:dPt>
          <c:dPt>
            <c:idx val="11"/>
            <c:spPr>
              <a:solidFill>
                <a:srgbClr val="FFC54D"/>
              </a:solidFill>
              <a:ln w="6350">
                <a:solidFill>
                  <a:srgbClr val="1A1E43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B-7803-454E-9EDE-F71D2C49F806}"/>
              </c:ext>
            </c:extLst>
          </c:dPt>
          <c:dP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 w="6350">
                <a:solidFill>
                  <a:srgbClr val="1A1E43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C-7803-454E-9EDE-F71D2C49F806}"/>
              </c:ext>
            </c:extLst>
          </c:dPt>
          <c:dPt>
            <c:idx val="13"/>
            <c:spPr>
              <a:solidFill>
                <a:srgbClr val="FFC54D"/>
              </a:solidFill>
              <a:ln w="6350">
                <a:solidFill>
                  <a:srgbClr val="1A1E43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D-7803-454E-9EDE-F71D2C49F806}"/>
              </c:ext>
            </c:extLst>
          </c:dPt>
          <c:dP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 w="6350">
                <a:solidFill>
                  <a:srgbClr val="1A1E43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E-7803-454E-9EDE-F71D2C49F806}"/>
              </c:ext>
            </c:extLst>
          </c:dPt>
          <c:dPt>
            <c:idx val="15"/>
            <c:spPr>
              <a:solidFill>
                <a:srgbClr val="F94C66"/>
              </a:solidFill>
              <a:ln w="6350">
                <a:solidFill>
                  <a:srgbClr val="1A1E43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F-7803-454E-9EDE-F71D2C49F806}"/>
              </c:ext>
            </c:extLst>
          </c:dPt>
          <c:dPt>
            <c:idx val="16"/>
            <c:spPr>
              <a:solidFill>
                <a:schemeClr val="accent5">
                  <a:lumMod val="80000"/>
                  <a:lumOff val="20000"/>
                </a:schemeClr>
              </a:solidFill>
              <a:ln w="6350">
                <a:solidFill>
                  <a:srgbClr val="1A1E43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70-7803-454E-9EDE-F71D2C49F806}"/>
              </c:ext>
            </c:extLst>
          </c:dPt>
          <c:dPt>
            <c:idx val="17"/>
            <c:spPr>
              <a:solidFill>
                <a:srgbClr val="F94C66"/>
              </a:solidFill>
              <a:ln w="6350">
                <a:solidFill>
                  <a:srgbClr val="1A1E43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71-7803-454E-9EDE-F71D2C49F806}"/>
              </c:ext>
            </c:extLst>
          </c:dPt>
          <c:dPt>
            <c:idx val="18"/>
            <c:spPr>
              <a:solidFill>
                <a:schemeClr val="accent1">
                  <a:lumMod val="80000"/>
                </a:schemeClr>
              </a:solidFill>
              <a:ln w="6350">
                <a:solidFill>
                  <a:srgbClr val="1A1E43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72-7803-454E-9EDE-F71D2C49F806}"/>
              </c:ext>
            </c:extLst>
          </c:dPt>
          <c:dPt>
            <c:idx val="19"/>
            <c:spPr>
              <a:solidFill>
                <a:srgbClr val="F94C66"/>
              </a:solidFill>
              <a:ln w="6350">
                <a:solidFill>
                  <a:srgbClr val="1A1E43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73-7803-454E-9EDE-F71D2C49F806}"/>
              </c:ext>
            </c:extLst>
          </c:dPt>
          <c:dPt>
            <c:idx val="20"/>
            <c:spPr>
              <a:solidFill>
                <a:schemeClr val="accent3">
                  <a:lumMod val="80000"/>
                </a:schemeClr>
              </a:solidFill>
              <a:ln w="6350">
                <a:solidFill>
                  <a:srgbClr val="1A1E43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74-7803-454E-9EDE-F71D2C49F806}"/>
              </c:ext>
            </c:extLst>
          </c:dPt>
          <c:dPt>
            <c:idx val="21"/>
            <c:spPr>
              <a:solidFill>
                <a:srgbClr val="1A1E43"/>
              </a:solidFill>
              <a:ln w="6350">
                <a:solidFill>
                  <a:srgbClr val="1A1E43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75-7803-454E-9EDE-F71D2C49F806}"/>
              </c:ext>
            </c:extLst>
          </c:dPt>
          <c:val>
            <c:numRef>
              <c:f>'22 仪表盘图'!$C$3:$C$24</c:f>
              <c:numCache>
                <c:formatCode>General</c:formatCode>
                <c:ptCount val="22"/>
                <c:pt idx="0">
                  <c:v>0</c:v>
                </c:pt>
                <c:pt idx="1">
                  <c:v>27</c:v>
                </c:pt>
                <c:pt idx="2">
                  <c:v>0</c:v>
                </c:pt>
                <c:pt idx="3">
                  <c:v>27</c:v>
                </c:pt>
                <c:pt idx="4">
                  <c:v>0</c:v>
                </c:pt>
                <c:pt idx="5">
                  <c:v>27</c:v>
                </c:pt>
                <c:pt idx="6">
                  <c:v>0</c:v>
                </c:pt>
                <c:pt idx="7">
                  <c:v>27</c:v>
                </c:pt>
                <c:pt idx="8">
                  <c:v>0</c:v>
                </c:pt>
                <c:pt idx="9">
                  <c:v>27</c:v>
                </c:pt>
                <c:pt idx="10">
                  <c:v>0</c:v>
                </c:pt>
                <c:pt idx="11">
                  <c:v>27</c:v>
                </c:pt>
                <c:pt idx="12">
                  <c:v>0</c:v>
                </c:pt>
                <c:pt idx="13">
                  <c:v>27</c:v>
                </c:pt>
                <c:pt idx="14">
                  <c:v>0</c:v>
                </c:pt>
                <c:pt idx="15">
                  <c:v>27</c:v>
                </c:pt>
                <c:pt idx="16">
                  <c:v>0</c:v>
                </c:pt>
                <c:pt idx="17">
                  <c:v>27</c:v>
                </c:pt>
                <c:pt idx="18">
                  <c:v>0</c:v>
                </c:pt>
                <c:pt idx="19">
                  <c:v>27</c:v>
                </c:pt>
                <c:pt idx="20">
                  <c:v>0</c:v>
                </c:pt>
                <c:pt idx="21">
                  <c:v>90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5F-7803-454E-9EDE-F71D2C49F806}"/>
            </c:ext>
          </c:extLst>
        </c:ser>
        <c:ser>
          <c:idx val="0"/>
          <c:order val="2"/>
          <c:tx>
            <c:strRef>
              <c:f>'22 仪表盘图'!$C$2</c:f>
              <c:strCache>
                <c:ptCount val="1"/>
                <c:pt idx="0">
                  <c:v>仪表盘</c:v>
                </c:pt>
              </c:strCache>
            </c:strRef>
          </c:tx>
          <c:spPr>
            <a:solidFill>
              <a:srgbClr val="0070C0"/>
            </a:solidFill>
            <a:ln w="6350">
              <a:solidFill>
                <a:srgbClr val="1A1E43"/>
              </a:solidFill>
            </a:ln>
          </c:spPr>
          <c:dPt>
            <c:idx val="0"/>
            <c:spPr>
              <a:solidFill>
                <a:srgbClr val="0070C0"/>
              </a:solidFill>
              <a:ln w="6350">
                <a:solidFill>
                  <a:srgbClr val="1A1E43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2-7803-454E-9EDE-F71D2C49F806}"/>
              </c:ext>
            </c:extLst>
          </c:dPt>
          <c:dPt>
            <c:idx val="1"/>
            <c:spPr>
              <a:solidFill>
                <a:srgbClr val="0070C0"/>
              </a:solidFill>
              <a:ln w="6350">
                <a:solidFill>
                  <a:srgbClr val="1A1E43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4-7803-454E-9EDE-F71D2C49F806}"/>
              </c:ext>
            </c:extLst>
          </c:dPt>
          <c:dPt>
            <c:idx val="2"/>
            <c:spPr>
              <a:solidFill>
                <a:srgbClr val="0070C0"/>
              </a:solidFill>
              <a:ln w="6350">
                <a:solidFill>
                  <a:srgbClr val="1A1E43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6-7803-454E-9EDE-F71D2C49F806}"/>
              </c:ext>
            </c:extLst>
          </c:dPt>
          <c:dPt>
            <c:idx val="3"/>
            <c:spPr>
              <a:solidFill>
                <a:srgbClr val="0070C0"/>
              </a:solidFill>
              <a:ln w="6350">
                <a:solidFill>
                  <a:srgbClr val="1A1E43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8-7803-454E-9EDE-F71D2C49F806}"/>
              </c:ext>
            </c:extLst>
          </c:dPt>
          <c:dPt>
            <c:idx val="4"/>
            <c:spPr>
              <a:solidFill>
                <a:srgbClr val="0070C0"/>
              </a:solidFill>
              <a:ln w="6350">
                <a:solidFill>
                  <a:srgbClr val="1A1E43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A-7803-454E-9EDE-F71D2C49F806}"/>
              </c:ext>
            </c:extLst>
          </c:dPt>
          <c:dPt>
            <c:idx val="5"/>
            <c:spPr>
              <a:solidFill>
                <a:srgbClr val="0070C0"/>
              </a:solidFill>
              <a:ln w="6350">
                <a:solidFill>
                  <a:srgbClr val="1A1E43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C-7803-454E-9EDE-F71D2C49F806}"/>
              </c:ext>
            </c:extLst>
          </c:dPt>
          <c:dPt>
            <c:idx val="6"/>
            <c:spPr>
              <a:solidFill>
                <a:srgbClr val="0070C0"/>
              </a:solidFill>
              <a:ln w="6350">
                <a:solidFill>
                  <a:srgbClr val="1A1E43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E-7803-454E-9EDE-F71D2C49F806}"/>
              </c:ext>
            </c:extLst>
          </c:dPt>
          <c:dPt>
            <c:idx val="7"/>
            <c:spPr>
              <a:solidFill>
                <a:srgbClr val="0070C0"/>
              </a:solidFill>
              <a:ln w="6350">
                <a:solidFill>
                  <a:srgbClr val="1A1E43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0-7803-454E-9EDE-F71D2C49F806}"/>
              </c:ext>
            </c:extLst>
          </c:dPt>
          <c:dPt>
            <c:idx val="8"/>
            <c:spPr>
              <a:solidFill>
                <a:srgbClr val="0070C0"/>
              </a:solidFill>
              <a:ln w="6350">
                <a:solidFill>
                  <a:srgbClr val="1A1E43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2-7803-454E-9EDE-F71D2C49F806}"/>
              </c:ext>
            </c:extLst>
          </c:dPt>
          <c:dPt>
            <c:idx val="9"/>
            <c:spPr>
              <a:solidFill>
                <a:srgbClr val="0070C0"/>
              </a:solidFill>
              <a:ln w="6350">
                <a:solidFill>
                  <a:srgbClr val="1A1E43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4-7803-454E-9EDE-F71D2C49F806}"/>
              </c:ext>
            </c:extLst>
          </c:dPt>
          <c:dPt>
            <c:idx val="10"/>
            <c:spPr>
              <a:solidFill>
                <a:srgbClr val="0070C0"/>
              </a:solidFill>
              <a:ln w="6350">
                <a:solidFill>
                  <a:srgbClr val="1A1E43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6-7803-454E-9EDE-F71D2C49F806}"/>
              </c:ext>
            </c:extLst>
          </c:dPt>
          <c:dPt>
            <c:idx val="11"/>
            <c:spPr>
              <a:solidFill>
                <a:srgbClr val="0070C0"/>
              </a:solidFill>
              <a:ln w="6350">
                <a:solidFill>
                  <a:srgbClr val="1A1E43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8-7803-454E-9EDE-F71D2C49F806}"/>
              </c:ext>
            </c:extLst>
          </c:dPt>
          <c:dPt>
            <c:idx val="12"/>
            <c:spPr>
              <a:solidFill>
                <a:srgbClr val="0070C0"/>
              </a:solidFill>
              <a:ln w="6350">
                <a:solidFill>
                  <a:srgbClr val="1A1E43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A-7803-454E-9EDE-F71D2C49F806}"/>
              </c:ext>
            </c:extLst>
          </c:dPt>
          <c:dPt>
            <c:idx val="13"/>
            <c:spPr>
              <a:solidFill>
                <a:srgbClr val="0070C0"/>
              </a:solidFill>
              <a:ln w="6350">
                <a:solidFill>
                  <a:srgbClr val="1A1E43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C-7803-454E-9EDE-F71D2C49F806}"/>
              </c:ext>
            </c:extLst>
          </c:dPt>
          <c:dPt>
            <c:idx val="14"/>
            <c:spPr>
              <a:solidFill>
                <a:srgbClr val="0070C0"/>
              </a:solidFill>
              <a:ln w="6350">
                <a:solidFill>
                  <a:srgbClr val="1A1E43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E-7803-454E-9EDE-F71D2C49F806}"/>
              </c:ext>
            </c:extLst>
          </c:dPt>
          <c:dPt>
            <c:idx val="15"/>
            <c:spPr>
              <a:solidFill>
                <a:srgbClr val="0070C0"/>
              </a:solidFill>
              <a:ln w="6350">
                <a:solidFill>
                  <a:srgbClr val="1A1E43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0-7803-454E-9EDE-F71D2C49F806}"/>
              </c:ext>
            </c:extLst>
          </c:dPt>
          <c:dPt>
            <c:idx val="16"/>
            <c:spPr>
              <a:solidFill>
                <a:srgbClr val="0070C0"/>
              </a:solidFill>
              <a:ln w="6350">
                <a:solidFill>
                  <a:srgbClr val="1A1E43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2-7803-454E-9EDE-F71D2C49F806}"/>
              </c:ext>
            </c:extLst>
          </c:dPt>
          <c:dPt>
            <c:idx val="17"/>
            <c:spPr>
              <a:solidFill>
                <a:srgbClr val="0070C0"/>
              </a:solidFill>
              <a:ln w="6350">
                <a:solidFill>
                  <a:srgbClr val="1A1E43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4-7803-454E-9EDE-F71D2C49F806}"/>
              </c:ext>
            </c:extLst>
          </c:dPt>
          <c:dPt>
            <c:idx val="18"/>
            <c:spPr>
              <a:solidFill>
                <a:srgbClr val="0070C0"/>
              </a:solidFill>
              <a:ln w="6350">
                <a:solidFill>
                  <a:srgbClr val="1A1E43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6-7803-454E-9EDE-F71D2C49F806}"/>
              </c:ext>
            </c:extLst>
          </c:dPt>
          <c:dPt>
            <c:idx val="19"/>
            <c:spPr>
              <a:solidFill>
                <a:srgbClr val="0070C0"/>
              </a:solidFill>
              <a:ln w="6350">
                <a:solidFill>
                  <a:srgbClr val="1A1E43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8-7803-454E-9EDE-F71D2C49F806}"/>
              </c:ext>
            </c:extLst>
          </c:dPt>
          <c:dPt>
            <c:idx val="20"/>
            <c:spPr>
              <a:solidFill>
                <a:srgbClr val="0070C0"/>
              </a:solidFill>
              <a:ln w="6350">
                <a:solidFill>
                  <a:srgbClr val="1A1E43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A-7803-454E-9EDE-F71D2C49F806}"/>
              </c:ext>
            </c:extLst>
          </c:dPt>
          <c:dPt>
            <c:idx val="21"/>
            <c:spPr>
              <a:solidFill>
                <a:srgbClr val="0070C0"/>
              </a:solidFill>
              <a:ln w="6350">
                <a:solidFill>
                  <a:srgbClr val="1A1E43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C-7803-454E-9EDE-F71D2C49F806}"/>
              </c:ext>
            </c:extLst>
          </c:dPt>
          <c:val>
            <c:numRef>
              <c:f>'22 仪表盘图'!$C$3:$C$24</c:f>
              <c:numCache>
                <c:formatCode>General</c:formatCode>
                <c:ptCount val="22"/>
                <c:pt idx="0">
                  <c:v>0</c:v>
                </c:pt>
                <c:pt idx="1">
                  <c:v>27</c:v>
                </c:pt>
                <c:pt idx="2">
                  <c:v>0</c:v>
                </c:pt>
                <c:pt idx="3">
                  <c:v>27</c:v>
                </c:pt>
                <c:pt idx="4">
                  <c:v>0</c:v>
                </c:pt>
                <c:pt idx="5">
                  <c:v>27</c:v>
                </c:pt>
                <c:pt idx="6">
                  <c:v>0</c:v>
                </c:pt>
                <c:pt idx="7">
                  <c:v>27</c:v>
                </c:pt>
                <c:pt idx="8">
                  <c:v>0</c:v>
                </c:pt>
                <c:pt idx="9">
                  <c:v>27</c:v>
                </c:pt>
                <c:pt idx="10">
                  <c:v>0</c:v>
                </c:pt>
                <c:pt idx="11">
                  <c:v>27</c:v>
                </c:pt>
                <c:pt idx="12">
                  <c:v>0</c:v>
                </c:pt>
                <c:pt idx="13">
                  <c:v>27</c:v>
                </c:pt>
                <c:pt idx="14">
                  <c:v>0</c:v>
                </c:pt>
                <c:pt idx="15">
                  <c:v>27</c:v>
                </c:pt>
                <c:pt idx="16">
                  <c:v>0</c:v>
                </c:pt>
                <c:pt idx="17">
                  <c:v>27</c:v>
                </c:pt>
                <c:pt idx="18">
                  <c:v>0</c:v>
                </c:pt>
                <c:pt idx="19">
                  <c:v>27</c:v>
                </c:pt>
                <c:pt idx="20">
                  <c:v>0</c:v>
                </c:pt>
                <c:pt idx="21">
                  <c:v>90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5D-7803-454E-9EDE-F71D2C49F806}"/>
            </c:ext>
          </c:extLst>
        </c:ser>
        <c:dLbls/>
        <c:firstSliceAng val="225"/>
        <c:holeSize val="70"/>
      </c:doughnutChart>
    </c:plotArea>
    <c:plotVisOnly val="1"/>
    <c:dispBlanksAs val="gap"/>
    <c:extLst xmlns:c16r2="http://schemas.microsoft.com/office/drawing/2015/06/chart"/>
  </c:chart>
  <c:spPr>
    <a:solidFill>
      <a:srgbClr val="1A1E43"/>
    </a:solidFill>
    <a:ln>
      <a:noFill/>
    </a:ln>
  </c:spPr>
  <c:txPr>
    <a:bodyPr/>
    <a:lstStyle/>
    <a:p>
      <a:pPr>
        <a:defRPr/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autoTitleDeleted val="1"/>
    <c:plotArea>
      <c:layout>
        <c:manualLayout>
          <c:layoutTarget val="inner"/>
          <c:xMode val="edge"/>
          <c:yMode val="edge"/>
          <c:x val="7.5980392156862739E-2"/>
          <c:y val="0.24882021520009792"/>
          <c:w val="0.84558823529411764"/>
          <c:h val="0.59129762951284748"/>
        </c:manualLayout>
      </c:layout>
      <c:barChart>
        <c:barDir val="col"/>
        <c:grouping val="clustered"/>
        <c:ser>
          <c:idx val="0"/>
          <c:order val="0"/>
          <c:tx>
            <c:strRef>
              <c:f>'23 柱形折线图'!$C$2</c:f>
              <c:strCache>
                <c:ptCount val="1"/>
                <c:pt idx="0">
                  <c:v>销售量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dLbls>
            <c:dLbl>
              <c:idx val="5"/>
              <c:layout>
                <c:manualLayout>
                  <c:x val="-8.9868242880141213E-17"/>
                  <c:y val="1.3728011873108851E-2"/>
                </c:manualLayout>
              </c:layout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2EC-43AE-8021-C48D314A29C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'23 柱形折线图'!$B$3:$B$8</c:f>
              <c:strCach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strCache>
            </c:strRef>
          </c:cat>
          <c:val>
            <c:numRef>
              <c:f>'23 柱形折线图'!$C$3:$C$8</c:f>
              <c:numCache>
                <c:formatCode>General</c:formatCode>
                <c:ptCount val="6"/>
                <c:pt idx="0">
                  <c:v>1603</c:v>
                </c:pt>
                <c:pt idx="1">
                  <c:v>2106</c:v>
                </c:pt>
                <c:pt idx="2">
                  <c:v>2406</c:v>
                </c:pt>
                <c:pt idx="3">
                  <c:v>3265</c:v>
                </c:pt>
                <c:pt idx="4">
                  <c:v>3721</c:v>
                </c:pt>
                <c:pt idx="5">
                  <c:v>3921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9C1-4720-8827-4C1406BC1C6D}"/>
            </c:ext>
          </c:extLst>
        </c:ser>
        <c:dLbls>
          <c:showVal val="1"/>
        </c:dLbls>
        <c:gapWidth val="219"/>
        <c:overlap val="-27"/>
        <c:axId val="155664768"/>
        <c:axId val="155666304"/>
      </c:barChart>
      <c:lineChart>
        <c:grouping val="standard"/>
        <c:ser>
          <c:idx val="1"/>
          <c:order val="1"/>
          <c:tx>
            <c:strRef>
              <c:f>'23 柱形折线图'!$D$2</c:f>
              <c:strCache>
                <c:ptCount val="1"/>
                <c:pt idx="0">
                  <c:v>同比</c:v>
                </c:pt>
              </c:strCache>
            </c:strRef>
          </c:tx>
          <c:spPr>
            <a:ln w="19050" cap="rnd">
              <a:solidFill>
                <a:srgbClr val="E74E69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74E69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'23 柱形折线图'!$B$3:$B$8</c:f>
              <c:strCach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strCache>
            </c:strRef>
          </c:cat>
          <c:val>
            <c:numRef>
              <c:f>'23 柱形折线图'!$D$3:$D$8</c:f>
              <c:numCache>
                <c:formatCode>0%</c:formatCode>
                <c:ptCount val="6"/>
                <c:pt idx="0">
                  <c:v>0.27</c:v>
                </c:pt>
                <c:pt idx="1">
                  <c:v>0.31378665003119144</c:v>
                </c:pt>
                <c:pt idx="2">
                  <c:v>0.14245014245014254</c:v>
                </c:pt>
                <c:pt idx="3">
                  <c:v>0.35702410640066495</c:v>
                </c:pt>
                <c:pt idx="4">
                  <c:v>0.1396630934150076</c:v>
                </c:pt>
                <c:pt idx="5">
                  <c:v>5.3748992206396062E-2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9C1-4720-8827-4C1406BC1C6D}"/>
            </c:ext>
          </c:extLst>
        </c:ser>
        <c:dLbls>
          <c:showVal val="1"/>
        </c:dLbls>
        <c:marker val="1"/>
        <c:axId val="155677824"/>
        <c:axId val="155667840"/>
      </c:lineChart>
      <c:catAx>
        <c:axId val="155664768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5666304"/>
        <c:crosses val="autoZero"/>
        <c:auto val="1"/>
        <c:lblAlgn val="ctr"/>
        <c:lblOffset val="100"/>
      </c:catAx>
      <c:valAx>
        <c:axId val="155666304"/>
        <c:scaling>
          <c:orientation val="minMax"/>
          <c:max val="6000"/>
        </c:scaling>
        <c:axPos val="l"/>
        <c:numFmt formatCode="General" sourceLinked="1"/>
        <c:maj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5664768"/>
        <c:crosses val="autoZero"/>
        <c:crossBetween val="between"/>
      </c:valAx>
      <c:valAx>
        <c:axId val="155667840"/>
        <c:scaling>
          <c:orientation val="minMax"/>
          <c:max val="0.5"/>
          <c:min val="-1.2"/>
        </c:scaling>
        <c:axPos val="r"/>
        <c:numFmt formatCode="0%" sourceLinked="1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5677824"/>
        <c:crosses val="max"/>
        <c:crossBetween val="between"/>
      </c:valAx>
      <c:catAx>
        <c:axId val="155677824"/>
        <c:scaling>
          <c:orientation val="minMax"/>
        </c:scaling>
        <c:delete val="1"/>
        <c:axPos val="t"/>
        <c:numFmt formatCode="General" sourceLinked="1"/>
        <c:tickLblPos val="none"/>
        <c:crossAx val="155667840"/>
        <c:crosses val="max"/>
        <c:auto val="1"/>
        <c:lblAlgn val="ctr"/>
        <c:lblOffset val="10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4509803921568654"/>
          <c:y val="0.23230336311969613"/>
          <c:w val="0.25882352941176479"/>
          <c:h val="5.3770298473461292E-2"/>
        </c:manualLayout>
      </c:layout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A1E43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plotArea>
      <c:layout/>
      <c:barChart>
        <c:barDir val="col"/>
        <c:grouping val="stacked"/>
        <c:ser>
          <c:idx val="0"/>
          <c:order val="0"/>
          <c:tx>
            <c:strRef>
              <c:f>'24 目标柱形图'!$C$2</c:f>
              <c:strCache>
                <c:ptCount val="1"/>
                <c:pt idx="0">
                  <c:v>实际销量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cat>
            <c:strRef>
              <c:f>'24 目标柱形图'!$B$3:$B$8</c:f>
              <c:strCache>
                <c:ptCount val="6"/>
                <c:pt idx="0">
                  <c:v>口红</c:v>
                </c:pt>
                <c:pt idx="1">
                  <c:v>面膜</c:v>
                </c:pt>
                <c:pt idx="2">
                  <c:v>隔离</c:v>
                </c:pt>
                <c:pt idx="3">
                  <c:v>防晒</c:v>
                </c:pt>
                <c:pt idx="4">
                  <c:v>精华</c:v>
                </c:pt>
                <c:pt idx="5">
                  <c:v>面霜</c:v>
                </c:pt>
              </c:strCache>
            </c:strRef>
          </c:cat>
          <c:val>
            <c:numRef>
              <c:f>'24 目标柱形图'!$C$3:$C$8</c:f>
              <c:numCache>
                <c:formatCode>General</c:formatCode>
                <c:ptCount val="6"/>
                <c:pt idx="0">
                  <c:v>653</c:v>
                </c:pt>
                <c:pt idx="1">
                  <c:v>523</c:v>
                </c:pt>
                <c:pt idx="2">
                  <c:v>648</c:v>
                </c:pt>
                <c:pt idx="3">
                  <c:v>856</c:v>
                </c:pt>
                <c:pt idx="4">
                  <c:v>714</c:v>
                </c:pt>
                <c:pt idx="5">
                  <c:v>785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B37-4C3C-BBA2-392BEE9CB0CC}"/>
            </c:ext>
          </c:extLst>
        </c:ser>
        <c:ser>
          <c:idx val="1"/>
          <c:order val="1"/>
          <c:tx>
            <c:strRef>
              <c:f>'24 目标柱形图'!$D$2</c:f>
              <c:strCache>
                <c:ptCount val="1"/>
                <c:pt idx="0">
                  <c:v>目标销量</c:v>
                </c:pt>
              </c:strCache>
            </c:strRef>
          </c:tx>
          <c:spPr>
            <a:noFill/>
            <a:ln>
              <a:solidFill>
                <a:srgbClr val="0070C0"/>
              </a:solidFill>
            </a:ln>
            <a:effectLst/>
          </c:spPr>
          <c:cat>
            <c:strRef>
              <c:f>'24 目标柱形图'!$B$3:$B$8</c:f>
              <c:strCache>
                <c:ptCount val="6"/>
                <c:pt idx="0">
                  <c:v>口红</c:v>
                </c:pt>
                <c:pt idx="1">
                  <c:v>面膜</c:v>
                </c:pt>
                <c:pt idx="2">
                  <c:v>隔离</c:v>
                </c:pt>
                <c:pt idx="3">
                  <c:v>防晒</c:v>
                </c:pt>
                <c:pt idx="4">
                  <c:v>精华</c:v>
                </c:pt>
                <c:pt idx="5">
                  <c:v>面霜</c:v>
                </c:pt>
              </c:strCache>
            </c:strRef>
          </c:cat>
          <c:val>
            <c:numRef>
              <c:f>'24 目标柱形图'!$D$3:$D$8</c:f>
              <c:numCache>
                <c:formatCode>General</c:formatCode>
                <c:ptCount val="6"/>
                <c:pt idx="0">
                  <c:v>700</c:v>
                </c:pt>
                <c:pt idx="1">
                  <c:v>500</c:v>
                </c:pt>
                <c:pt idx="2">
                  <c:v>600</c:v>
                </c:pt>
                <c:pt idx="3">
                  <c:v>900</c:v>
                </c:pt>
                <c:pt idx="4">
                  <c:v>600</c:v>
                </c:pt>
                <c:pt idx="5">
                  <c:v>600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B37-4C3C-BBA2-392BEE9CB0CC}"/>
            </c:ext>
          </c:extLst>
        </c:ser>
        <c:dLbls/>
        <c:gapWidth val="350"/>
        <c:overlap val="100"/>
        <c:axId val="155762048"/>
        <c:axId val="155751552"/>
      </c:barChart>
      <c:catAx>
        <c:axId val="155762048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5751552"/>
        <c:crosses val="autoZero"/>
        <c:auto val="1"/>
        <c:lblAlgn val="ctr"/>
        <c:lblOffset val="100"/>
      </c:catAx>
      <c:valAx>
        <c:axId val="155751552"/>
        <c:scaling>
          <c:orientation val="minMax"/>
          <c:max val="1000"/>
        </c:scaling>
        <c:axPos val="l"/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5762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A1E43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autoTitleDeleted val="1"/>
    <c:plotArea>
      <c:layout>
        <c:manualLayout>
          <c:layoutTarget val="inner"/>
          <c:xMode val="edge"/>
          <c:yMode val="edge"/>
          <c:x val="7.4879227053140124E-2"/>
          <c:y val="0.26426422855734533"/>
          <c:w val="0.84782608695652173"/>
          <c:h val="0.54331849825278622"/>
        </c:manualLayout>
      </c:layout>
      <c:barChart>
        <c:barDir val="col"/>
        <c:grouping val="clustered"/>
        <c:ser>
          <c:idx val="1"/>
          <c:order val="1"/>
          <c:tx>
            <c:strRef>
              <c:f>'24 目标柱形图'!$D$2</c:f>
              <c:strCache>
                <c:ptCount val="1"/>
                <c:pt idx="0">
                  <c:v>目标销量</c:v>
                </c:pt>
              </c:strCache>
            </c:strRef>
          </c:tx>
          <c:spPr>
            <a:noFill/>
            <a:ln>
              <a:solidFill>
                <a:schemeClr val="bg1">
                  <a:lumMod val="95000"/>
                  <a:alpha val="50000"/>
                </a:schemeClr>
              </a:solidFill>
            </a:ln>
            <a:effectLst/>
          </c:spPr>
          <c:cat>
            <c:strRef>
              <c:f>'24 目标柱形图'!$B$3:$B$8</c:f>
              <c:strCache>
                <c:ptCount val="6"/>
                <c:pt idx="0">
                  <c:v>口红</c:v>
                </c:pt>
                <c:pt idx="1">
                  <c:v>面膜</c:v>
                </c:pt>
                <c:pt idx="2">
                  <c:v>隔离</c:v>
                </c:pt>
                <c:pt idx="3">
                  <c:v>防晒</c:v>
                </c:pt>
                <c:pt idx="4">
                  <c:v>精华</c:v>
                </c:pt>
                <c:pt idx="5">
                  <c:v>面霜</c:v>
                </c:pt>
              </c:strCache>
            </c:strRef>
          </c:cat>
          <c:val>
            <c:numRef>
              <c:f>'24 目标柱形图'!$D$3:$D$8</c:f>
              <c:numCache>
                <c:formatCode>General</c:formatCode>
                <c:ptCount val="6"/>
                <c:pt idx="0">
                  <c:v>700</c:v>
                </c:pt>
                <c:pt idx="1">
                  <c:v>500</c:v>
                </c:pt>
                <c:pt idx="2">
                  <c:v>600</c:v>
                </c:pt>
                <c:pt idx="3">
                  <c:v>900</c:v>
                </c:pt>
                <c:pt idx="4">
                  <c:v>600</c:v>
                </c:pt>
                <c:pt idx="5">
                  <c:v>600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7D07-4D06-A9DB-985189BD4041}"/>
            </c:ext>
          </c:extLst>
        </c:ser>
        <c:dLbls/>
        <c:gapWidth val="300"/>
        <c:overlap val="-27"/>
        <c:axId val="155833856"/>
        <c:axId val="155835392"/>
      </c:barChart>
      <c:barChart>
        <c:barDir val="col"/>
        <c:grouping val="clustered"/>
        <c:ser>
          <c:idx val="0"/>
          <c:order val="0"/>
          <c:tx>
            <c:strRef>
              <c:f>'24 目标柱形图'!$C$2</c:f>
              <c:strCache>
                <c:ptCount val="1"/>
                <c:pt idx="0">
                  <c:v>实际销量</c:v>
                </c:pt>
              </c:strCache>
            </c:strRef>
          </c:tx>
          <c:spPr>
            <a:solidFill>
              <a:srgbClr val="0070C0">
                <a:alpha val="97000"/>
              </a:srgbClr>
            </a:solidFill>
            <a:ln>
              <a:noFill/>
            </a:ln>
            <a:effectLst/>
          </c:spPr>
          <c:dLbls>
            <c:dLbl>
              <c:idx val="0"/>
              <c:layout>
                <c:manualLayout>
                  <c:x val="0"/>
                  <c:y val="-2.0592017809663285E-2"/>
                </c:manualLayout>
              </c:layout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D07-4D06-A9DB-985189BD4041}"/>
                </c:ext>
              </c:extLst>
            </c:dLbl>
            <c:dLbl>
              <c:idx val="3"/>
              <c:layout>
                <c:manualLayout>
                  <c:x val="0"/>
                  <c:y val="-1.7160014841386063E-2"/>
                </c:manualLayout>
              </c:layout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D07-4D06-A9DB-985189BD404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'24 目标柱形图'!$B$3:$B$8</c:f>
              <c:strCache>
                <c:ptCount val="6"/>
                <c:pt idx="0">
                  <c:v>口红</c:v>
                </c:pt>
                <c:pt idx="1">
                  <c:v>面膜</c:v>
                </c:pt>
                <c:pt idx="2">
                  <c:v>隔离</c:v>
                </c:pt>
                <c:pt idx="3">
                  <c:v>防晒</c:v>
                </c:pt>
                <c:pt idx="4">
                  <c:v>精华</c:v>
                </c:pt>
                <c:pt idx="5">
                  <c:v>面霜</c:v>
                </c:pt>
              </c:strCache>
            </c:strRef>
          </c:cat>
          <c:val>
            <c:numRef>
              <c:f>'24 目标柱形图'!$C$3:$C$8</c:f>
              <c:numCache>
                <c:formatCode>General</c:formatCode>
                <c:ptCount val="6"/>
                <c:pt idx="0">
                  <c:v>653</c:v>
                </c:pt>
                <c:pt idx="1">
                  <c:v>523</c:v>
                </c:pt>
                <c:pt idx="2">
                  <c:v>648</c:v>
                </c:pt>
                <c:pt idx="3">
                  <c:v>856</c:v>
                </c:pt>
                <c:pt idx="4">
                  <c:v>714</c:v>
                </c:pt>
                <c:pt idx="5">
                  <c:v>785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D07-4D06-A9DB-985189BD4041}"/>
            </c:ext>
          </c:extLst>
        </c:ser>
        <c:dLbls/>
        <c:gapWidth val="450"/>
        <c:overlap val="-27"/>
        <c:axId val="155842816"/>
        <c:axId val="155841280"/>
      </c:barChart>
      <c:catAx>
        <c:axId val="155833856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rgbClr val="0070C0">
                <a:alpha val="20000"/>
              </a:srgb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5835392"/>
        <c:crosses val="autoZero"/>
        <c:auto val="1"/>
        <c:lblAlgn val="ctr"/>
        <c:lblOffset val="100"/>
      </c:catAx>
      <c:valAx>
        <c:axId val="155835392"/>
        <c:scaling>
          <c:orientation val="minMax"/>
        </c:scaling>
        <c:axPos val="l"/>
        <c:numFmt formatCode="General" sourceLinked="1"/>
        <c:maj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5833856"/>
        <c:crosses val="autoZero"/>
        <c:crossBetween val="between"/>
      </c:valAx>
      <c:valAx>
        <c:axId val="155841280"/>
        <c:scaling>
          <c:orientation val="minMax"/>
          <c:max val="1000"/>
        </c:scaling>
        <c:axPos val="r"/>
        <c:numFmt formatCode="General" sourceLinked="1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5842816"/>
        <c:crosses val="max"/>
        <c:crossBetween val="between"/>
      </c:valAx>
      <c:catAx>
        <c:axId val="155842816"/>
        <c:scaling>
          <c:orientation val="minMax"/>
        </c:scaling>
        <c:delete val="1"/>
        <c:axPos val="b"/>
        <c:numFmt formatCode="General" sourceLinked="1"/>
        <c:tickLblPos val="none"/>
        <c:crossAx val="155841280"/>
        <c:crosses val="autoZero"/>
        <c:auto val="1"/>
        <c:lblAlgn val="ctr"/>
        <c:lblOffset val="10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8677013199437049E-2"/>
          <c:y val="0.24624594273743594"/>
          <c:w val="0.23645498117083194"/>
          <c:h val="5.3770298473461292E-2"/>
        </c:manualLayout>
      </c:layout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A1E43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plotArea>
      <c:layout/>
      <c:barChart>
        <c:barDir val="col"/>
        <c:grouping val="stacked"/>
        <c:ser>
          <c:idx val="0"/>
          <c:order val="0"/>
          <c:tx>
            <c:strRef>
              <c:f>'25 子弹图'!$C$3</c:f>
              <c:strCache>
                <c:ptCount val="1"/>
                <c:pt idx="0">
                  <c:v>实际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cat>
            <c:strRef>
              <c:f>'25 子弹图'!$B$4:$B$9</c:f>
              <c:strCache>
                <c:ptCount val="6"/>
                <c:pt idx="0">
                  <c:v>口红</c:v>
                </c:pt>
                <c:pt idx="1">
                  <c:v>面膜</c:v>
                </c:pt>
                <c:pt idx="2">
                  <c:v>隔离</c:v>
                </c:pt>
                <c:pt idx="3">
                  <c:v>防晒</c:v>
                </c:pt>
                <c:pt idx="4">
                  <c:v>精华</c:v>
                </c:pt>
                <c:pt idx="5">
                  <c:v>面霜</c:v>
                </c:pt>
              </c:strCache>
            </c:strRef>
          </c:cat>
          <c:val>
            <c:numRef>
              <c:f>'25 子弹图'!$C$4:$C$9</c:f>
              <c:numCache>
                <c:formatCode>General</c:formatCode>
                <c:ptCount val="6"/>
                <c:pt idx="0">
                  <c:v>653</c:v>
                </c:pt>
                <c:pt idx="1">
                  <c:v>523</c:v>
                </c:pt>
                <c:pt idx="2">
                  <c:v>648</c:v>
                </c:pt>
                <c:pt idx="3">
                  <c:v>856</c:v>
                </c:pt>
                <c:pt idx="4">
                  <c:v>714</c:v>
                </c:pt>
                <c:pt idx="5">
                  <c:v>785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FE-439F-8342-80DE83351273}"/>
            </c:ext>
          </c:extLst>
        </c:ser>
        <c:ser>
          <c:idx val="1"/>
          <c:order val="1"/>
          <c:tx>
            <c:strRef>
              <c:f>'25 子弹图'!$D$3</c:f>
              <c:strCache>
                <c:ptCount val="1"/>
                <c:pt idx="0">
                  <c:v>目标</c:v>
                </c:pt>
              </c:strCache>
            </c:strRef>
          </c:tx>
          <c:spPr>
            <a:noFill/>
            <a:ln>
              <a:solidFill>
                <a:srgbClr val="0070C0"/>
              </a:solidFill>
            </a:ln>
            <a:effectLst/>
          </c:spPr>
          <c:cat>
            <c:strRef>
              <c:f>'25 子弹图'!$B$4:$B$9</c:f>
              <c:strCache>
                <c:ptCount val="6"/>
                <c:pt idx="0">
                  <c:v>口红</c:v>
                </c:pt>
                <c:pt idx="1">
                  <c:v>面膜</c:v>
                </c:pt>
                <c:pt idx="2">
                  <c:v>隔离</c:v>
                </c:pt>
                <c:pt idx="3">
                  <c:v>防晒</c:v>
                </c:pt>
                <c:pt idx="4">
                  <c:v>精华</c:v>
                </c:pt>
                <c:pt idx="5">
                  <c:v>面霜</c:v>
                </c:pt>
              </c:strCache>
            </c:strRef>
          </c:cat>
          <c:val>
            <c:numRef>
              <c:f>'25 子弹图'!$D$4:$D$9</c:f>
              <c:numCache>
                <c:formatCode>General</c:formatCode>
                <c:ptCount val="6"/>
                <c:pt idx="0">
                  <c:v>700</c:v>
                </c:pt>
                <c:pt idx="1">
                  <c:v>500</c:v>
                </c:pt>
                <c:pt idx="2">
                  <c:v>600</c:v>
                </c:pt>
                <c:pt idx="3">
                  <c:v>900</c:v>
                </c:pt>
                <c:pt idx="4">
                  <c:v>600</c:v>
                </c:pt>
                <c:pt idx="5">
                  <c:v>600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EFE-439F-8342-80DE83351273}"/>
            </c:ext>
          </c:extLst>
        </c:ser>
        <c:dLbls/>
        <c:gapWidth val="350"/>
        <c:overlap val="100"/>
        <c:axId val="155882240"/>
        <c:axId val="155883776"/>
      </c:barChart>
      <c:catAx>
        <c:axId val="155882240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5883776"/>
        <c:crosses val="autoZero"/>
        <c:auto val="1"/>
        <c:lblAlgn val="ctr"/>
        <c:lblOffset val="100"/>
      </c:catAx>
      <c:valAx>
        <c:axId val="155883776"/>
        <c:scaling>
          <c:orientation val="minMax"/>
          <c:max val="1000"/>
        </c:scaling>
        <c:axPos val="l"/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588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A1E43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autoTitleDeleted val="1"/>
    <c:plotArea>
      <c:layout>
        <c:manualLayout>
          <c:layoutTarget val="inner"/>
          <c:xMode val="edge"/>
          <c:yMode val="edge"/>
          <c:x val="0.12766944573104835"/>
          <c:y val="0.2910338517099077"/>
          <c:w val="0.8233109464258147"/>
          <c:h val="0.54154385545808736"/>
        </c:manualLayout>
      </c:layout>
      <c:barChart>
        <c:barDir val="col"/>
        <c:grouping val="stacked"/>
        <c:ser>
          <c:idx val="2"/>
          <c:order val="2"/>
          <c:tx>
            <c:strRef>
              <c:f>'25 子弹图'!$E$3</c:f>
              <c:strCache>
                <c:ptCount val="1"/>
                <c:pt idx="0">
                  <c:v>及格</c:v>
                </c:pt>
              </c:strCache>
            </c:strRef>
          </c:tx>
          <c:spPr>
            <a:solidFill>
              <a:srgbClr val="82ADD7"/>
            </a:solidFill>
            <a:ln>
              <a:noFill/>
            </a:ln>
            <a:effectLst/>
          </c:spPr>
          <c:cat>
            <c:strRef>
              <c:f>'25 子弹图'!$B$4:$B$9</c:f>
              <c:strCache>
                <c:ptCount val="6"/>
                <c:pt idx="0">
                  <c:v>口红</c:v>
                </c:pt>
                <c:pt idx="1">
                  <c:v>面膜</c:v>
                </c:pt>
                <c:pt idx="2">
                  <c:v>隔离</c:v>
                </c:pt>
                <c:pt idx="3">
                  <c:v>防晒</c:v>
                </c:pt>
                <c:pt idx="4">
                  <c:v>精华</c:v>
                </c:pt>
                <c:pt idx="5">
                  <c:v>面霜</c:v>
                </c:pt>
              </c:strCache>
            </c:strRef>
          </c:cat>
          <c:val>
            <c:numRef>
              <c:f>'25 子弹图'!$E$4:$E$9</c:f>
              <c:numCache>
                <c:formatCode>General</c:formatCode>
                <c:ptCount val="6"/>
                <c:pt idx="0">
                  <c:v>600</c:v>
                </c:pt>
                <c:pt idx="1">
                  <c:v>600</c:v>
                </c:pt>
                <c:pt idx="2">
                  <c:v>600</c:v>
                </c:pt>
                <c:pt idx="3">
                  <c:v>600</c:v>
                </c:pt>
                <c:pt idx="4">
                  <c:v>600</c:v>
                </c:pt>
                <c:pt idx="5">
                  <c:v>600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548B-490B-8A29-F1941CA5EC58}"/>
            </c:ext>
          </c:extLst>
        </c:ser>
        <c:ser>
          <c:idx val="3"/>
          <c:order val="3"/>
          <c:tx>
            <c:strRef>
              <c:f>'25 子弹图'!$F$3</c:f>
              <c:strCache>
                <c:ptCount val="1"/>
                <c:pt idx="0">
                  <c:v>良好</c:v>
                </c:pt>
              </c:strCache>
            </c:strRef>
          </c:tx>
          <c:spPr>
            <a:solidFill>
              <a:srgbClr val="00B0F0">
                <a:alpha val="70000"/>
              </a:srgbClr>
            </a:solidFill>
            <a:ln>
              <a:noFill/>
            </a:ln>
            <a:effectLst/>
          </c:spPr>
          <c:cat>
            <c:strRef>
              <c:f>'25 子弹图'!$B$4:$B$9</c:f>
              <c:strCache>
                <c:ptCount val="6"/>
                <c:pt idx="0">
                  <c:v>口红</c:v>
                </c:pt>
                <c:pt idx="1">
                  <c:v>面膜</c:v>
                </c:pt>
                <c:pt idx="2">
                  <c:v>隔离</c:v>
                </c:pt>
                <c:pt idx="3">
                  <c:v>防晒</c:v>
                </c:pt>
                <c:pt idx="4">
                  <c:v>精华</c:v>
                </c:pt>
                <c:pt idx="5">
                  <c:v>面霜</c:v>
                </c:pt>
              </c:strCache>
            </c:strRef>
          </c:cat>
          <c:val>
            <c:numRef>
              <c:f>'25 子弹图'!$F$4:$F$9</c:f>
              <c:numCache>
                <c:formatCode>General</c:formatCode>
                <c:ptCount val="6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548B-490B-8A29-F1941CA5EC58}"/>
            </c:ext>
          </c:extLst>
        </c:ser>
        <c:ser>
          <c:idx val="4"/>
          <c:order val="4"/>
          <c:tx>
            <c:strRef>
              <c:f>'25 子弹图'!$G$3</c:f>
              <c:strCache>
                <c:ptCount val="1"/>
                <c:pt idx="0">
                  <c:v>优秀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cat>
            <c:strRef>
              <c:f>'25 子弹图'!$B$4:$B$9</c:f>
              <c:strCache>
                <c:ptCount val="6"/>
                <c:pt idx="0">
                  <c:v>口红</c:v>
                </c:pt>
                <c:pt idx="1">
                  <c:v>面膜</c:v>
                </c:pt>
                <c:pt idx="2">
                  <c:v>隔离</c:v>
                </c:pt>
                <c:pt idx="3">
                  <c:v>防晒</c:v>
                </c:pt>
                <c:pt idx="4">
                  <c:v>精华</c:v>
                </c:pt>
                <c:pt idx="5">
                  <c:v>面霜</c:v>
                </c:pt>
              </c:strCache>
            </c:strRef>
          </c:cat>
          <c:val>
            <c:numRef>
              <c:f>'25 子弹图'!$G$4:$G$9</c:f>
              <c:numCache>
                <c:formatCode>General</c:formatCode>
                <c:ptCount val="6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48B-490B-8A29-F1941CA5EC58}"/>
            </c:ext>
          </c:extLst>
        </c:ser>
        <c:dLbls/>
        <c:gapWidth val="250"/>
        <c:overlap val="100"/>
        <c:axId val="163318784"/>
        <c:axId val="163328768"/>
      </c:barChart>
      <c:barChart>
        <c:barDir val="col"/>
        <c:grouping val="stacked"/>
        <c:ser>
          <c:idx val="0"/>
          <c:order val="0"/>
          <c:tx>
            <c:strRef>
              <c:f>'25 子弹图'!$C$3</c:f>
              <c:strCache>
                <c:ptCount val="1"/>
                <c:pt idx="0">
                  <c:v>实际</c:v>
                </c:pt>
              </c:strCache>
            </c:strRef>
          </c:tx>
          <c:spPr>
            <a:solidFill>
              <a:srgbClr val="0E5DFF"/>
            </a:solidFill>
            <a:ln>
              <a:noFill/>
            </a:ln>
            <a:effectLst/>
          </c:spPr>
          <c:cat>
            <c:strRef>
              <c:f>'25 子弹图'!$B$4:$B$9</c:f>
              <c:strCache>
                <c:ptCount val="6"/>
                <c:pt idx="0">
                  <c:v>口红</c:v>
                </c:pt>
                <c:pt idx="1">
                  <c:v>面膜</c:v>
                </c:pt>
                <c:pt idx="2">
                  <c:v>隔离</c:v>
                </c:pt>
                <c:pt idx="3">
                  <c:v>防晒</c:v>
                </c:pt>
                <c:pt idx="4">
                  <c:v>精华</c:v>
                </c:pt>
                <c:pt idx="5">
                  <c:v>面霜</c:v>
                </c:pt>
              </c:strCache>
            </c:strRef>
          </c:cat>
          <c:val>
            <c:numRef>
              <c:f>'25 子弹图'!$C$4:$C$9</c:f>
              <c:numCache>
                <c:formatCode>General</c:formatCode>
                <c:ptCount val="6"/>
                <c:pt idx="0">
                  <c:v>653</c:v>
                </c:pt>
                <c:pt idx="1">
                  <c:v>523</c:v>
                </c:pt>
                <c:pt idx="2">
                  <c:v>648</c:v>
                </c:pt>
                <c:pt idx="3">
                  <c:v>856</c:v>
                </c:pt>
                <c:pt idx="4">
                  <c:v>714</c:v>
                </c:pt>
                <c:pt idx="5">
                  <c:v>785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8B-490B-8A29-F1941CA5EC58}"/>
            </c:ext>
          </c:extLst>
        </c:ser>
        <c:dLbls/>
        <c:gapWidth val="500"/>
        <c:overlap val="100"/>
        <c:axId val="163336192"/>
        <c:axId val="163330304"/>
      </c:barChart>
      <c:lineChart>
        <c:grouping val="standard"/>
        <c:ser>
          <c:idx val="1"/>
          <c:order val="1"/>
          <c:tx>
            <c:strRef>
              <c:f>'25 子弹图'!$D$3</c:f>
              <c:strCache>
                <c:ptCount val="1"/>
                <c:pt idx="0">
                  <c:v>目标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ash"/>
            <c:size val="10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cat>
            <c:strRef>
              <c:f>'25 子弹图'!$B$4:$B$9</c:f>
              <c:strCache>
                <c:ptCount val="6"/>
                <c:pt idx="0">
                  <c:v>口红</c:v>
                </c:pt>
                <c:pt idx="1">
                  <c:v>面膜</c:v>
                </c:pt>
                <c:pt idx="2">
                  <c:v>隔离</c:v>
                </c:pt>
                <c:pt idx="3">
                  <c:v>防晒</c:v>
                </c:pt>
                <c:pt idx="4">
                  <c:v>精华</c:v>
                </c:pt>
                <c:pt idx="5">
                  <c:v>面霜</c:v>
                </c:pt>
              </c:strCache>
            </c:strRef>
          </c:cat>
          <c:val>
            <c:numRef>
              <c:f>'25 子弹图'!$D$4:$D$9</c:f>
              <c:numCache>
                <c:formatCode>General</c:formatCode>
                <c:ptCount val="6"/>
                <c:pt idx="0">
                  <c:v>700</c:v>
                </c:pt>
                <c:pt idx="1">
                  <c:v>500</c:v>
                </c:pt>
                <c:pt idx="2">
                  <c:v>600</c:v>
                </c:pt>
                <c:pt idx="3">
                  <c:v>900</c:v>
                </c:pt>
                <c:pt idx="4">
                  <c:v>600</c:v>
                </c:pt>
                <c:pt idx="5">
                  <c:v>600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548B-490B-8A29-F1941CA5EC58}"/>
            </c:ext>
          </c:extLst>
        </c:ser>
        <c:dLbls/>
        <c:marker val="1"/>
        <c:axId val="163336192"/>
        <c:axId val="163330304"/>
      </c:lineChart>
      <c:catAx>
        <c:axId val="163318784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bg1">
                <a:lumMod val="95000"/>
                <a:alpha val="2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3328768"/>
        <c:crosses val="autoZero"/>
        <c:auto val="1"/>
        <c:lblAlgn val="ctr"/>
        <c:lblOffset val="100"/>
      </c:catAx>
      <c:valAx>
        <c:axId val="163328768"/>
        <c:scaling>
          <c:orientation val="minMax"/>
        </c:scaling>
        <c:axPos val="l"/>
        <c:numFmt formatCode="General" sourceLinked="1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3318784"/>
        <c:crosses val="autoZero"/>
        <c:crossBetween val="between"/>
      </c:valAx>
      <c:valAx>
        <c:axId val="163330304"/>
        <c:scaling>
          <c:orientation val="minMax"/>
          <c:max val="1200"/>
        </c:scaling>
        <c:axPos val="r"/>
        <c:numFmt formatCode="General" sourceLinked="1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3336192"/>
        <c:crosses val="max"/>
        <c:crossBetween val="between"/>
      </c:valAx>
      <c:catAx>
        <c:axId val="163336192"/>
        <c:scaling>
          <c:orientation val="minMax"/>
        </c:scaling>
        <c:delete val="1"/>
        <c:axPos val="b"/>
        <c:numFmt formatCode="General" sourceLinked="1"/>
        <c:tickLblPos val="none"/>
        <c:crossAx val="163330304"/>
        <c:crosses val="autoZero"/>
        <c:auto val="1"/>
        <c:lblAlgn val="ctr"/>
        <c:lblOffset val="10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781631156399575"/>
          <c:y val="0.26821103197086427"/>
          <c:w val="0.41009610930986579"/>
          <c:h val="5.7915455444359276E-2"/>
        </c:manualLayout>
      </c:layout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A1E43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autoTitleDeleted val="1"/>
    <c:plotArea>
      <c:layout>
        <c:manualLayout>
          <c:layoutTarget val="inner"/>
          <c:xMode val="edge"/>
          <c:yMode val="edge"/>
          <c:x val="8.1634580800094558E-2"/>
          <c:y val="0.24984992260582811"/>
          <c:w val="0.82552650865257904"/>
          <c:h val="0.59743977456362474"/>
        </c:manualLayout>
      </c:layout>
      <c:barChart>
        <c:barDir val="col"/>
        <c:grouping val="clustered"/>
        <c:ser>
          <c:idx val="0"/>
          <c:order val="0"/>
          <c:tx>
            <c:strRef>
              <c:f>'26 柱形圆'!$C$2</c:f>
              <c:strCache>
                <c:ptCount val="1"/>
                <c:pt idx="0">
                  <c:v>销量</c:v>
                </c:pt>
              </c:strCache>
            </c:strRef>
          </c:tx>
          <c:spPr>
            <a:solidFill>
              <a:srgbClr val="E74E69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'26 柱形圆'!$B$3:$B$8</c:f>
              <c:strCache>
                <c:ptCount val="6"/>
                <c:pt idx="0">
                  <c:v>华北</c:v>
                </c:pt>
                <c:pt idx="1">
                  <c:v>华南</c:v>
                </c:pt>
                <c:pt idx="2">
                  <c:v>东北</c:v>
                </c:pt>
                <c:pt idx="3">
                  <c:v>西北</c:v>
                </c:pt>
                <c:pt idx="4">
                  <c:v>西南</c:v>
                </c:pt>
                <c:pt idx="5">
                  <c:v>华东</c:v>
                </c:pt>
              </c:strCache>
            </c:strRef>
          </c:cat>
          <c:val>
            <c:numRef>
              <c:f>'26 柱形圆'!$C$3:$C$8</c:f>
              <c:numCache>
                <c:formatCode>0</c:formatCode>
                <c:ptCount val="6"/>
                <c:pt idx="0">
                  <c:v>2354</c:v>
                </c:pt>
                <c:pt idx="1">
                  <c:v>1902</c:v>
                </c:pt>
                <c:pt idx="2">
                  <c:v>3524</c:v>
                </c:pt>
                <c:pt idx="3">
                  <c:v>2698</c:v>
                </c:pt>
                <c:pt idx="4">
                  <c:v>2896</c:v>
                </c:pt>
                <c:pt idx="5" formatCode="General">
                  <c:v>2563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67A-4237-A7B7-A9B483641DF6}"/>
            </c:ext>
          </c:extLst>
        </c:ser>
        <c:dLbls/>
        <c:gapWidth val="219"/>
        <c:overlap val="-27"/>
        <c:axId val="163850880"/>
        <c:axId val="163873152"/>
      </c:barChart>
      <c:lineChart>
        <c:grouping val="standard"/>
        <c:ser>
          <c:idx val="1"/>
          <c:order val="1"/>
          <c:tx>
            <c:strRef>
              <c:f>'26 柱形圆'!$D$12</c:f>
              <c:strCache>
                <c:ptCount val="1"/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12"/>
            </c:marker>
            <c:extLst xmlns:c16r2="http://schemas.microsoft.com/office/drawing/2015/06/chart">
              <c:ext xmlns:c16="http://schemas.microsoft.com/office/drawing/2014/chart" uri="{C3380CC4-5D6E-409C-BE32-E72D297353CC}">
                <c16:uniqueId val="{00000002-167A-4237-A7B7-A9B483641DF6}"/>
              </c:ext>
            </c:extLst>
          </c:dPt>
          <c:dPt>
            <c:idx val="1"/>
            <c:marker>
              <c:symbol val="circle"/>
              <c:size val="25"/>
            </c:marker>
            <c:extLst xmlns:c16r2="http://schemas.microsoft.com/office/drawing/2015/06/chart">
              <c:ext xmlns:c16="http://schemas.microsoft.com/office/drawing/2014/chart" uri="{C3380CC4-5D6E-409C-BE32-E72D297353CC}">
                <c16:uniqueId val="{00000003-167A-4237-A7B7-A9B483641DF6}"/>
              </c:ext>
            </c:extLst>
          </c:dPt>
          <c:dPt>
            <c:idx val="2"/>
            <c:marker>
              <c:symbol val="circle"/>
              <c:size val="16"/>
            </c:marker>
            <c:extLst xmlns:c16r2="http://schemas.microsoft.com/office/drawing/2015/06/chart">
              <c:ext xmlns:c16="http://schemas.microsoft.com/office/drawing/2014/chart" uri="{C3380CC4-5D6E-409C-BE32-E72D297353CC}">
                <c16:uniqueId val="{00000004-167A-4237-A7B7-A9B483641DF6}"/>
              </c:ext>
            </c:extLst>
          </c:dPt>
          <c:dPt>
            <c:idx val="3"/>
            <c:marker>
              <c:symbol val="circle"/>
              <c:size val="21"/>
            </c:marker>
            <c:extLst xmlns:c16r2="http://schemas.microsoft.com/office/drawing/2015/06/chart">
              <c:ext xmlns:c16="http://schemas.microsoft.com/office/drawing/2014/chart" uri="{C3380CC4-5D6E-409C-BE32-E72D297353CC}">
                <c16:uniqueId val="{00000005-167A-4237-A7B7-A9B483641DF6}"/>
              </c:ext>
            </c:extLst>
          </c:dPt>
          <c:dPt>
            <c:idx val="4"/>
            <c:marker>
              <c:symbol val="circle"/>
              <c:size val="18"/>
            </c:marker>
            <c:extLst xmlns:c16r2="http://schemas.microsoft.com/office/drawing/2015/06/chart">
              <c:ext xmlns:c16="http://schemas.microsoft.com/office/drawing/2014/chart" uri="{C3380CC4-5D6E-409C-BE32-E72D297353CC}">
                <c16:uniqueId val="{00000006-167A-4237-A7B7-A9B483641DF6}"/>
              </c:ext>
            </c:extLst>
          </c:dPt>
          <c:dPt>
            <c:idx val="5"/>
            <c:marker>
              <c:symbol val="circle"/>
              <c:size val="25"/>
            </c:marker>
            <c:extLst xmlns:c16r2="http://schemas.microsoft.com/office/drawing/2015/06/chart">
              <c:ext xmlns:c16="http://schemas.microsoft.com/office/drawing/2014/chart" uri="{C3380CC4-5D6E-409C-BE32-E72D297353CC}">
                <c16:uniqueId val="{00000007-167A-4237-A7B7-A9B483641DF6}"/>
              </c:ext>
            </c:extLst>
          </c:dPt>
          <c:dLbls>
            <c:dLbl>
              <c:idx val="0"/>
              <c:tx>
                <c:strRef>
                  <c:f>'26 柱形圆'!$E$3</c:f>
                  <c:strCache>
                    <c:ptCount val="1"/>
                    <c:pt idx="0">
                      <c:v>12%</c:v>
                    </c:pt>
                  </c:strCache>
                </c:strRef>
              </c:tx>
              <c:dLblPos val="ctr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dlblFieldTable>
                    <c15:dlblFTEntry>
                      <c15:txfldGUID>{5BB32B27-0EF2-4E63-AC9C-90DB43974AA7}</c15:txfldGUID>
                      <c15:f>'26 柱形圆'!$E$3</c15:f>
                      <c15:dlblFieldTableCache>
                        <c:ptCount val="1"/>
                        <c:pt idx="0">
                          <c:v>12%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167A-4237-A7B7-A9B483641DF6}"/>
                </c:ext>
              </c:extLst>
            </c:dLbl>
            <c:dLbl>
              <c:idx val="1"/>
              <c:tx>
                <c:strRef>
                  <c:f>'26 柱形圆'!$E$4</c:f>
                  <c:strCache>
                    <c:ptCount val="1"/>
                    <c:pt idx="0">
                      <c:v>25%</c:v>
                    </c:pt>
                  </c:strCache>
                </c:strRef>
              </c:tx>
              <c:dLblPos val="ctr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dlblFieldTable>
                    <c15:dlblFTEntry>
                      <c15:txfldGUID>{93129B95-E460-4061-A7D2-0AFDB7910C00}</c15:txfldGUID>
                      <c15:f>'26 柱形圆'!$E$4</c15:f>
                      <c15:dlblFieldTableCache>
                        <c:ptCount val="1"/>
                        <c:pt idx="0">
                          <c:v>25%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167A-4237-A7B7-A9B483641DF6}"/>
                </c:ext>
              </c:extLst>
            </c:dLbl>
            <c:dLbl>
              <c:idx val="2"/>
              <c:tx>
                <c:strRef>
                  <c:f>'26 柱形圆'!$E$5</c:f>
                  <c:strCache>
                    <c:ptCount val="1"/>
                    <c:pt idx="0">
                      <c:v>16%</c:v>
                    </c:pt>
                  </c:strCache>
                </c:strRef>
              </c:tx>
              <c:dLblPos val="ctr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dlblFieldTable>
                    <c15:dlblFTEntry>
                      <c15:txfldGUID>{F58AF0A1-E305-48BB-8E28-277C6C738779}</c15:txfldGUID>
                      <c15:f>'26 柱形圆'!$E$5</c15:f>
                      <c15:dlblFieldTableCache>
                        <c:ptCount val="1"/>
                        <c:pt idx="0">
                          <c:v>16%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167A-4237-A7B7-A9B483641DF6}"/>
                </c:ext>
              </c:extLst>
            </c:dLbl>
            <c:dLbl>
              <c:idx val="3"/>
              <c:tx>
                <c:strRef>
                  <c:f>'26 柱形圆'!$E$6</c:f>
                  <c:strCache>
                    <c:ptCount val="1"/>
                    <c:pt idx="0">
                      <c:v>21%</c:v>
                    </c:pt>
                  </c:strCache>
                </c:strRef>
              </c:tx>
              <c:dLblPos val="ctr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dlblFieldTable>
                    <c15:dlblFTEntry>
                      <c15:txfldGUID>{B9F76280-71DB-46F7-9189-6B18E7670DEA}</c15:txfldGUID>
                      <c15:f>'26 柱形圆'!$E$6</c15:f>
                      <c15:dlblFieldTableCache>
                        <c:ptCount val="1"/>
                        <c:pt idx="0">
                          <c:v>21%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167A-4237-A7B7-A9B483641DF6}"/>
                </c:ext>
              </c:extLst>
            </c:dLbl>
            <c:dLbl>
              <c:idx val="4"/>
              <c:tx>
                <c:strRef>
                  <c:f>'26 柱形圆'!$E$7</c:f>
                  <c:strCache>
                    <c:ptCount val="1"/>
                    <c:pt idx="0">
                      <c:v>18%</c:v>
                    </c:pt>
                  </c:strCache>
                </c:strRef>
              </c:tx>
              <c:dLblPos val="ctr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dlblFieldTable>
                    <c15:dlblFTEntry>
                      <c15:txfldGUID>{E2EA1E22-E07A-4FBA-9401-ABD5842AD0BE}</c15:txfldGUID>
                      <c15:f>'26 柱形圆'!$E$7</c15:f>
                      <c15:dlblFieldTableCache>
                        <c:ptCount val="1"/>
                        <c:pt idx="0">
                          <c:v>18%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167A-4237-A7B7-A9B483641DF6}"/>
                </c:ext>
              </c:extLst>
            </c:dLbl>
            <c:dLbl>
              <c:idx val="5"/>
              <c:tx>
                <c:strRef>
                  <c:f>'26 柱形圆'!$E$8</c:f>
                  <c:strCache>
                    <c:ptCount val="1"/>
                    <c:pt idx="0">
                      <c:v>25%</c:v>
                    </c:pt>
                  </c:strCache>
                </c:strRef>
              </c:tx>
              <c:dLblPos val="ctr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dlblFieldTable>
                    <c15:dlblFTEntry>
                      <c15:txfldGUID>{39BC0504-3E5F-40DB-AAB8-F4A1782902B6}</c15:txfldGUID>
                      <c15:f>'26 柱形圆'!$E$8</c15:f>
                      <c15:dlblFieldTableCache>
                        <c:ptCount val="1"/>
                        <c:pt idx="0">
                          <c:v>25%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167A-4237-A7B7-A9B483641D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'26 柱形圆'!$B$3:$B$8</c:f>
              <c:strCache>
                <c:ptCount val="6"/>
                <c:pt idx="0">
                  <c:v>华北</c:v>
                </c:pt>
                <c:pt idx="1">
                  <c:v>华南</c:v>
                </c:pt>
                <c:pt idx="2">
                  <c:v>东北</c:v>
                </c:pt>
                <c:pt idx="3">
                  <c:v>西北</c:v>
                </c:pt>
                <c:pt idx="4">
                  <c:v>西南</c:v>
                </c:pt>
                <c:pt idx="5">
                  <c:v>华东</c:v>
                </c:pt>
              </c:strCache>
            </c:strRef>
          </c:cat>
          <c:val>
            <c:numRef>
              <c:f>'26 柱形圆'!$D$3:$D$8</c:f>
              <c:numCache>
                <c:formatCode>0</c:formatCode>
                <c:ptCount val="6"/>
                <c:pt idx="0">
                  <c:v>4500</c:v>
                </c:pt>
                <c:pt idx="1">
                  <c:v>4500</c:v>
                </c:pt>
                <c:pt idx="2">
                  <c:v>4500</c:v>
                </c:pt>
                <c:pt idx="3">
                  <c:v>4500</c:v>
                </c:pt>
                <c:pt idx="4">
                  <c:v>4500</c:v>
                </c:pt>
                <c:pt idx="5">
                  <c:v>4500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67A-4237-A7B7-A9B483641DF6}"/>
            </c:ext>
          </c:extLst>
        </c:ser>
        <c:dLbls/>
        <c:marker val="1"/>
        <c:axId val="163850880"/>
        <c:axId val="163873152"/>
      </c:lineChart>
      <c:catAx>
        <c:axId val="163850880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bg1">
                <a:lumMod val="95000"/>
                <a:alpha val="2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3873152"/>
        <c:crosses val="autoZero"/>
        <c:auto val="1"/>
        <c:lblAlgn val="ctr"/>
        <c:lblOffset val="100"/>
      </c:catAx>
      <c:valAx>
        <c:axId val="163873152"/>
        <c:scaling>
          <c:orientation val="minMax"/>
        </c:scaling>
        <c:delete val="1"/>
        <c:axPos val="l"/>
        <c:numFmt formatCode="0" sourceLinked="1"/>
        <c:majorTickMark val="none"/>
        <c:tickLblPos val="none"/>
        <c:crossAx val="163850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A1E43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autoTitleDeleted val="1"/>
    <c:plotArea>
      <c:layout>
        <c:manualLayout>
          <c:layoutTarget val="inner"/>
          <c:xMode val="edge"/>
          <c:yMode val="edge"/>
          <c:x val="8.110081828006796E-2"/>
          <c:y val="0.26524166579822506"/>
          <c:w val="0.84437914929751423"/>
          <c:h val="0.57989060731410125"/>
        </c:manualLayout>
      </c:layout>
      <c:barChart>
        <c:barDir val="col"/>
        <c:grouping val="clustered"/>
        <c:ser>
          <c:idx val="0"/>
          <c:order val="0"/>
          <c:tx>
            <c:strRef>
              <c:f>'27 簇状柱形折线图'!$C$2</c:f>
              <c:strCache>
                <c:ptCount val="1"/>
                <c:pt idx="0">
                  <c:v>2022销量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'27 簇状柱形折线图'!$B$3:$B$8</c:f>
              <c:strCache>
                <c:ptCount val="6"/>
                <c:pt idx="0">
                  <c:v>华北</c:v>
                </c:pt>
                <c:pt idx="1">
                  <c:v>华南</c:v>
                </c:pt>
                <c:pt idx="2">
                  <c:v>东北</c:v>
                </c:pt>
                <c:pt idx="3">
                  <c:v>西北</c:v>
                </c:pt>
                <c:pt idx="4">
                  <c:v>西南</c:v>
                </c:pt>
                <c:pt idx="5">
                  <c:v>华东</c:v>
                </c:pt>
              </c:strCache>
            </c:strRef>
          </c:cat>
          <c:val>
            <c:numRef>
              <c:f>'27 簇状柱形折线图'!$C$3:$C$8</c:f>
              <c:numCache>
                <c:formatCode>0</c:formatCode>
                <c:ptCount val="6"/>
                <c:pt idx="0">
                  <c:v>2354</c:v>
                </c:pt>
                <c:pt idx="1">
                  <c:v>1902</c:v>
                </c:pt>
                <c:pt idx="2">
                  <c:v>3524</c:v>
                </c:pt>
                <c:pt idx="3">
                  <c:v>2698</c:v>
                </c:pt>
                <c:pt idx="4">
                  <c:v>2896</c:v>
                </c:pt>
                <c:pt idx="5" formatCode="General">
                  <c:v>2563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F9D-4F2A-BD1A-4C1CB3F825E8}"/>
            </c:ext>
          </c:extLst>
        </c:ser>
        <c:ser>
          <c:idx val="1"/>
          <c:order val="1"/>
          <c:tx>
            <c:strRef>
              <c:f>'27 簇状柱形折线图'!$D$2</c:f>
              <c:strCache>
                <c:ptCount val="1"/>
                <c:pt idx="0">
                  <c:v>2021销量</c:v>
                </c:pt>
              </c:strCache>
            </c:strRef>
          </c:tx>
          <c:spPr>
            <a:solidFill>
              <a:srgbClr val="E74E69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'27 簇状柱形折线图'!$B$3:$B$8</c:f>
              <c:strCache>
                <c:ptCount val="6"/>
                <c:pt idx="0">
                  <c:v>华北</c:v>
                </c:pt>
                <c:pt idx="1">
                  <c:v>华南</c:v>
                </c:pt>
                <c:pt idx="2">
                  <c:v>东北</c:v>
                </c:pt>
                <c:pt idx="3">
                  <c:v>西北</c:v>
                </c:pt>
                <c:pt idx="4">
                  <c:v>西南</c:v>
                </c:pt>
                <c:pt idx="5">
                  <c:v>华东</c:v>
                </c:pt>
              </c:strCache>
            </c:strRef>
          </c:cat>
          <c:val>
            <c:numRef>
              <c:f>'27 簇状柱形折线图'!$D$3:$D$8</c:f>
              <c:numCache>
                <c:formatCode>0</c:formatCode>
                <c:ptCount val="6"/>
                <c:pt idx="0">
                  <c:v>2021</c:v>
                </c:pt>
                <c:pt idx="1">
                  <c:v>1563</c:v>
                </c:pt>
                <c:pt idx="2">
                  <c:v>3213</c:v>
                </c:pt>
                <c:pt idx="3">
                  <c:v>2531</c:v>
                </c:pt>
                <c:pt idx="4">
                  <c:v>2631</c:v>
                </c:pt>
                <c:pt idx="5">
                  <c:v>2361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F9D-4F2A-BD1A-4C1CB3F825E8}"/>
            </c:ext>
          </c:extLst>
        </c:ser>
        <c:dLbls/>
        <c:gapWidth val="219"/>
        <c:overlap val="-27"/>
        <c:axId val="164011008"/>
        <c:axId val="163988992"/>
      </c:barChart>
      <c:lineChart>
        <c:grouping val="standard"/>
        <c:ser>
          <c:idx val="2"/>
          <c:order val="2"/>
          <c:tx>
            <c:strRef>
              <c:f>'27 簇状柱形折线图'!$E$2</c:f>
              <c:strCache>
                <c:ptCount val="1"/>
                <c:pt idx="0">
                  <c:v>同比去年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'27 簇状柱形折线图'!$B$3:$B$8</c:f>
              <c:strCache>
                <c:ptCount val="6"/>
                <c:pt idx="0">
                  <c:v>华北</c:v>
                </c:pt>
                <c:pt idx="1">
                  <c:v>华南</c:v>
                </c:pt>
                <c:pt idx="2">
                  <c:v>东北</c:v>
                </c:pt>
                <c:pt idx="3">
                  <c:v>西北</c:v>
                </c:pt>
                <c:pt idx="4">
                  <c:v>西南</c:v>
                </c:pt>
                <c:pt idx="5">
                  <c:v>华东</c:v>
                </c:pt>
              </c:strCache>
            </c:strRef>
          </c:cat>
          <c:val>
            <c:numRef>
              <c:f>'27 簇状柱形折线图'!$E$3:$E$8</c:f>
              <c:numCache>
                <c:formatCode>0%</c:formatCode>
                <c:ptCount val="6"/>
                <c:pt idx="0">
                  <c:v>0.16</c:v>
                </c:pt>
                <c:pt idx="1">
                  <c:v>0.22</c:v>
                </c:pt>
                <c:pt idx="2">
                  <c:v>0.1</c:v>
                </c:pt>
                <c:pt idx="3">
                  <c:v>7.0000000000000007E-2</c:v>
                </c:pt>
                <c:pt idx="4">
                  <c:v>0.1</c:v>
                </c:pt>
                <c:pt idx="5">
                  <c:v>0.09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1F9D-4F2A-BD1A-4C1CB3F825E8}"/>
            </c:ext>
          </c:extLst>
        </c:ser>
        <c:dLbls/>
        <c:marker val="1"/>
        <c:axId val="167211776"/>
        <c:axId val="163990528"/>
      </c:lineChart>
      <c:catAx>
        <c:axId val="164011008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bg1">
                <a:lumMod val="95000"/>
                <a:alpha val="2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3988992"/>
        <c:crosses val="autoZero"/>
        <c:auto val="1"/>
        <c:lblAlgn val="ctr"/>
        <c:lblOffset val="100"/>
      </c:catAx>
      <c:valAx>
        <c:axId val="163988992"/>
        <c:scaling>
          <c:orientation val="minMax"/>
          <c:max val="5000"/>
        </c:scaling>
        <c:axPos val="l"/>
        <c:numFmt formatCode="0" sourceLinked="1"/>
        <c:maj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4011008"/>
        <c:crosses val="autoZero"/>
        <c:crossBetween val="between"/>
      </c:valAx>
      <c:valAx>
        <c:axId val="163990528"/>
        <c:scaling>
          <c:orientation val="minMax"/>
          <c:min val="-1.1000000000000001"/>
        </c:scaling>
        <c:axPos val="r"/>
        <c:numFmt formatCode="0%" sourceLinked="1"/>
        <c:maj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7211776"/>
        <c:crosses val="max"/>
        <c:crossBetween val="between"/>
      </c:valAx>
      <c:catAx>
        <c:axId val="167211776"/>
        <c:scaling>
          <c:orientation val="minMax"/>
        </c:scaling>
        <c:delete val="1"/>
        <c:axPos val="b"/>
        <c:numFmt formatCode="General" sourceLinked="1"/>
        <c:majorTickMark val="none"/>
        <c:tickLblPos val="none"/>
        <c:crossAx val="163990528"/>
        <c:crosses val="autoZero"/>
        <c:auto val="1"/>
        <c:lblAlgn val="ctr"/>
        <c:lblOffset val="100"/>
      </c:catAx>
      <c:spPr>
        <a:noFill/>
        <a:ln>
          <a:noFill/>
        </a:ln>
        <a:effectLst/>
      </c:spPr>
    </c:plotArea>
    <c:plotVisOnly val="1"/>
    <c:dispBlanksAs val="gap"/>
  </c:chart>
  <c:spPr>
    <a:solidFill>
      <a:srgbClr val="1A1E43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autoTitleDeleted val="1"/>
    <c:plotArea>
      <c:layout>
        <c:manualLayout>
          <c:layoutTarget val="inner"/>
          <c:xMode val="edge"/>
          <c:yMode val="edge"/>
          <c:x val="9.6618357487922704E-2"/>
          <c:y val="0.17160010204125753"/>
          <c:w val="0.79227053140096604"/>
          <c:h val="0.6588649423423657"/>
        </c:manualLayout>
      </c:layout>
      <c:barChart>
        <c:barDir val="col"/>
        <c:grouping val="clustered"/>
        <c:ser>
          <c:idx val="0"/>
          <c:order val="0"/>
          <c:tx>
            <c:strRef>
              <c:f>'28 复合柱形图'!$C$2</c:f>
              <c:strCache>
                <c:ptCount val="1"/>
                <c:pt idx="0">
                  <c:v>月度销量</c:v>
                </c:pt>
              </c:strCache>
            </c:strRef>
          </c:tx>
          <c:spPr>
            <a:solidFill>
              <a:srgbClr val="A2417B"/>
            </a:solidFill>
            <a:ln>
              <a:noFill/>
            </a:ln>
            <a:effectLst/>
          </c:spPr>
          <c:dPt>
            <c:idx val="0"/>
            <c:spPr>
              <a:solidFill>
                <a:srgbClr val="4A5BD1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F746-466A-BF04-D8ED04D5ED38}"/>
              </c:ext>
            </c:extLst>
          </c:dPt>
          <c:dPt>
            <c:idx val="1"/>
            <c:spPr>
              <a:solidFill>
                <a:srgbClr val="4A5BD1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F746-466A-BF04-D8ED04D5ED38}"/>
              </c:ext>
            </c:extLst>
          </c:dPt>
          <c:dPt>
            <c:idx val="2"/>
            <c:spPr>
              <a:solidFill>
                <a:srgbClr val="4A5BD1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F746-466A-BF04-D8ED04D5ED38}"/>
              </c:ext>
            </c:extLst>
          </c:dPt>
          <c:dPt>
            <c:idx val="4"/>
            <c:spPr>
              <a:solidFill>
                <a:srgbClr val="FC6C0F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F746-466A-BF04-D8ED04D5ED38}"/>
              </c:ext>
            </c:extLst>
          </c:dPt>
          <c:dPt>
            <c:idx val="5"/>
            <c:spPr>
              <a:solidFill>
                <a:srgbClr val="FC6C0F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6-F746-466A-BF04-D8ED04D5ED38}"/>
              </c:ext>
            </c:extLst>
          </c:dPt>
          <c:dPt>
            <c:idx val="6"/>
            <c:spPr>
              <a:solidFill>
                <a:srgbClr val="FC6C0F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F746-466A-BF04-D8ED04D5ED38}"/>
              </c:ext>
            </c:extLst>
          </c:dPt>
          <c:dPt>
            <c:idx val="8"/>
            <c:spPr>
              <a:solidFill>
                <a:srgbClr val="F6A50B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F746-466A-BF04-D8ED04D5ED38}"/>
              </c:ext>
            </c:extLst>
          </c:dPt>
          <c:dPt>
            <c:idx val="9"/>
            <c:spPr>
              <a:solidFill>
                <a:srgbClr val="F6A50B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F746-466A-BF04-D8ED04D5ED38}"/>
              </c:ext>
            </c:extLst>
          </c:dPt>
          <c:dPt>
            <c:idx val="10"/>
            <c:spPr>
              <a:solidFill>
                <a:srgbClr val="F6A50B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A-F746-466A-BF04-D8ED04D5ED3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'28 复合柱形图'!$B$3:$B$17</c:f>
              <c:strCache>
                <c:ptCount val="15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4">
                  <c:v>4月</c:v>
                </c:pt>
                <c:pt idx="5">
                  <c:v>5月</c:v>
                </c:pt>
                <c:pt idx="6">
                  <c:v>6月</c:v>
                </c:pt>
                <c:pt idx="8">
                  <c:v>7月</c:v>
                </c:pt>
                <c:pt idx="9">
                  <c:v>8月</c:v>
                </c:pt>
                <c:pt idx="10">
                  <c:v>9月</c:v>
                </c:pt>
                <c:pt idx="12">
                  <c:v>10月</c:v>
                </c:pt>
                <c:pt idx="13">
                  <c:v>11月</c:v>
                </c:pt>
                <c:pt idx="14">
                  <c:v>12月</c:v>
                </c:pt>
              </c:strCache>
            </c:strRef>
          </c:cat>
          <c:val>
            <c:numRef>
              <c:f>'28 复合柱形图'!$C$3:$C$17</c:f>
              <c:numCache>
                <c:formatCode>0</c:formatCode>
                <c:ptCount val="15"/>
                <c:pt idx="0">
                  <c:v>2354</c:v>
                </c:pt>
                <c:pt idx="1">
                  <c:v>1902</c:v>
                </c:pt>
                <c:pt idx="2">
                  <c:v>3524</c:v>
                </c:pt>
                <c:pt idx="4">
                  <c:v>2698</c:v>
                </c:pt>
                <c:pt idx="5">
                  <c:v>2896</c:v>
                </c:pt>
                <c:pt idx="6" formatCode="General">
                  <c:v>2563</c:v>
                </c:pt>
                <c:pt idx="8">
                  <c:v>3156</c:v>
                </c:pt>
                <c:pt idx="9">
                  <c:v>2896</c:v>
                </c:pt>
                <c:pt idx="10">
                  <c:v>3621</c:v>
                </c:pt>
                <c:pt idx="12">
                  <c:v>2635</c:v>
                </c:pt>
                <c:pt idx="13">
                  <c:v>2963</c:v>
                </c:pt>
                <c:pt idx="14">
                  <c:v>2789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46-466A-BF04-D8ED04D5ED38}"/>
            </c:ext>
          </c:extLst>
        </c:ser>
        <c:dLbls>
          <c:showVal val="1"/>
        </c:dLbls>
        <c:axId val="167432960"/>
        <c:axId val="167434496"/>
      </c:barChart>
      <c:barChart>
        <c:barDir val="col"/>
        <c:grouping val="clustered"/>
        <c:ser>
          <c:idx val="1"/>
          <c:order val="1"/>
          <c:tx>
            <c:strRef>
              <c:f>'28 复合柱形图'!$D$2</c:f>
              <c:strCache>
                <c:ptCount val="1"/>
                <c:pt idx="0">
                  <c:v>季度销量</c:v>
                </c:pt>
              </c:strCache>
            </c:strRef>
          </c:tx>
          <c:spPr>
            <a:solidFill>
              <a:srgbClr val="A2417B"/>
            </a:solidFill>
            <a:ln>
              <a:noFill/>
            </a:ln>
            <a:effectLst/>
          </c:spPr>
          <c:dPt>
            <c:idx val="0"/>
            <c:spPr>
              <a:solidFill>
                <a:srgbClr val="4A5BD1">
                  <a:alpha val="20000"/>
                </a:srgb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F746-466A-BF04-D8ED04D5ED38}"/>
              </c:ext>
            </c:extLst>
          </c:dPt>
          <c:dPt>
            <c:idx val="1"/>
            <c:spPr>
              <a:solidFill>
                <a:srgbClr val="4A5BD1">
                  <a:alpha val="20000"/>
                </a:srgb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C-F746-466A-BF04-D8ED04D5ED38}"/>
              </c:ext>
            </c:extLst>
          </c:dPt>
          <c:dPt>
            <c:idx val="2"/>
            <c:spPr>
              <a:solidFill>
                <a:srgbClr val="4A5BD1">
                  <a:alpha val="20000"/>
                </a:srgb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F746-466A-BF04-D8ED04D5ED38}"/>
              </c:ext>
            </c:extLst>
          </c:dPt>
          <c:dPt>
            <c:idx val="4"/>
            <c:spPr>
              <a:solidFill>
                <a:srgbClr val="FC6C0F">
                  <a:alpha val="20000"/>
                </a:srgb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E-F746-466A-BF04-D8ED04D5ED38}"/>
              </c:ext>
            </c:extLst>
          </c:dPt>
          <c:dPt>
            <c:idx val="5"/>
            <c:spPr>
              <a:solidFill>
                <a:srgbClr val="FC6C0F">
                  <a:alpha val="20000"/>
                </a:srgb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0-F746-466A-BF04-D8ED04D5ED38}"/>
              </c:ext>
            </c:extLst>
          </c:dPt>
          <c:dPt>
            <c:idx val="6"/>
            <c:spPr>
              <a:solidFill>
                <a:srgbClr val="FC6C0F">
                  <a:alpha val="20000"/>
                </a:srgb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F746-466A-BF04-D8ED04D5ED38}"/>
              </c:ext>
            </c:extLst>
          </c:dPt>
          <c:dPt>
            <c:idx val="8"/>
            <c:spPr>
              <a:solidFill>
                <a:srgbClr val="F6A50B">
                  <a:alpha val="20000"/>
                </a:srgb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F746-466A-BF04-D8ED04D5ED38}"/>
              </c:ext>
            </c:extLst>
          </c:dPt>
          <c:dPt>
            <c:idx val="9"/>
            <c:spPr>
              <a:solidFill>
                <a:srgbClr val="F6A50B">
                  <a:alpha val="20000"/>
                </a:srgb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F746-466A-BF04-D8ED04D5ED38}"/>
              </c:ext>
            </c:extLst>
          </c:dPt>
          <c:dPt>
            <c:idx val="10"/>
            <c:spPr>
              <a:solidFill>
                <a:srgbClr val="F6A50B">
                  <a:alpha val="20000"/>
                </a:srgb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2-F746-466A-BF04-D8ED04D5ED38}"/>
              </c:ext>
            </c:extLst>
          </c:dPt>
          <c:dPt>
            <c:idx val="12"/>
            <c:spPr>
              <a:solidFill>
                <a:srgbClr val="A2417B">
                  <a:alpha val="20000"/>
                </a:srgb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6-F746-466A-BF04-D8ED04D5ED38}"/>
              </c:ext>
            </c:extLst>
          </c:dPt>
          <c:dPt>
            <c:idx val="13"/>
            <c:spPr>
              <a:solidFill>
                <a:srgbClr val="A2417B">
                  <a:alpha val="20000"/>
                </a:srgb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4-F746-466A-BF04-D8ED04D5ED38}"/>
              </c:ext>
            </c:extLst>
          </c:dPt>
          <c:dPt>
            <c:idx val="14"/>
            <c:spPr>
              <a:solidFill>
                <a:srgbClr val="A2417B">
                  <a:alpha val="20000"/>
                </a:srgb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F746-466A-BF04-D8ED04D5ED38}"/>
              </c:ext>
            </c:extLst>
          </c:dPt>
          <c:dLbls>
            <c:dLbl>
              <c:idx val="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746-466A-BF04-D8ED04D5ED38}"/>
                </c:ext>
              </c:extLst>
            </c:dLbl>
            <c:dLbl>
              <c:idx val="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746-466A-BF04-D8ED04D5ED38}"/>
                </c:ext>
              </c:extLst>
            </c:dLbl>
            <c:dLbl>
              <c:idx val="4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746-466A-BF04-D8ED04D5ED38}"/>
                </c:ext>
              </c:extLst>
            </c:dLbl>
            <c:dLbl>
              <c:idx val="6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746-466A-BF04-D8ED04D5ED38}"/>
                </c:ext>
              </c:extLst>
            </c:dLbl>
            <c:dLbl>
              <c:idx val="8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F746-466A-BF04-D8ED04D5ED38}"/>
                </c:ext>
              </c:extLst>
            </c:dLbl>
            <c:dLbl>
              <c:idx val="1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F746-466A-BF04-D8ED04D5ED38}"/>
                </c:ext>
              </c:extLst>
            </c:dLbl>
            <c:dLbl>
              <c:idx val="1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F746-466A-BF04-D8ED04D5ED38}"/>
                </c:ext>
              </c:extLst>
            </c:dLbl>
            <c:dLbl>
              <c:idx val="14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46-466A-BF04-D8ED04D5ED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'28 复合柱形图'!$B$3:$B$17</c:f>
              <c:strCache>
                <c:ptCount val="15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4">
                  <c:v>4月</c:v>
                </c:pt>
                <c:pt idx="5">
                  <c:v>5月</c:v>
                </c:pt>
                <c:pt idx="6">
                  <c:v>6月</c:v>
                </c:pt>
                <c:pt idx="8">
                  <c:v>7月</c:v>
                </c:pt>
                <c:pt idx="9">
                  <c:v>8月</c:v>
                </c:pt>
                <c:pt idx="10">
                  <c:v>9月</c:v>
                </c:pt>
                <c:pt idx="12">
                  <c:v>10月</c:v>
                </c:pt>
                <c:pt idx="13">
                  <c:v>11月</c:v>
                </c:pt>
                <c:pt idx="14">
                  <c:v>12月</c:v>
                </c:pt>
              </c:strCache>
            </c:strRef>
          </c:cat>
          <c:val>
            <c:numRef>
              <c:f>'28 复合柱形图'!$D$3:$D$17</c:f>
              <c:numCache>
                <c:formatCode>0_);[Red]\(0\)</c:formatCode>
                <c:ptCount val="15"/>
                <c:pt idx="0">
                  <c:v>7780</c:v>
                </c:pt>
                <c:pt idx="1">
                  <c:v>7780</c:v>
                </c:pt>
                <c:pt idx="2">
                  <c:v>7780</c:v>
                </c:pt>
                <c:pt idx="4">
                  <c:v>8157</c:v>
                </c:pt>
                <c:pt idx="5">
                  <c:v>8157</c:v>
                </c:pt>
                <c:pt idx="6">
                  <c:v>8157</c:v>
                </c:pt>
                <c:pt idx="8" formatCode="0">
                  <c:v>9673</c:v>
                </c:pt>
                <c:pt idx="9" formatCode="0">
                  <c:v>9673</c:v>
                </c:pt>
                <c:pt idx="10" formatCode="0">
                  <c:v>9673</c:v>
                </c:pt>
                <c:pt idx="12" formatCode="0">
                  <c:v>8387</c:v>
                </c:pt>
                <c:pt idx="13" formatCode="0">
                  <c:v>8387</c:v>
                </c:pt>
                <c:pt idx="14" formatCode="0">
                  <c:v>8387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46-466A-BF04-D8ED04D5ED38}"/>
            </c:ext>
          </c:extLst>
        </c:ser>
        <c:dLbls>
          <c:showVal val="1"/>
        </c:dLbls>
        <c:gapWidth val="0"/>
        <c:axId val="154605056"/>
        <c:axId val="154603520"/>
      </c:barChart>
      <c:catAx>
        <c:axId val="167432960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bg1">
                <a:lumMod val="95000"/>
                <a:alpha val="2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7434496"/>
        <c:crosses val="autoZero"/>
        <c:auto val="1"/>
        <c:lblAlgn val="ctr"/>
        <c:lblOffset val="100"/>
      </c:catAx>
      <c:valAx>
        <c:axId val="167434496"/>
        <c:scaling>
          <c:orientation val="minMax"/>
          <c:max val="12000"/>
        </c:scaling>
        <c:axPos val="l"/>
        <c:numFmt formatCode="0" sourceLinked="1"/>
        <c:maj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7432960"/>
        <c:crosses val="autoZero"/>
        <c:crossBetween val="between"/>
      </c:valAx>
      <c:valAx>
        <c:axId val="154603520"/>
        <c:scaling>
          <c:orientation val="minMax"/>
          <c:max val="12000"/>
        </c:scaling>
        <c:axPos val="r"/>
        <c:numFmt formatCode="0_);[Red]\(0\)" sourceLinked="1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4605056"/>
        <c:crosses val="max"/>
        <c:crossBetween val="between"/>
      </c:valAx>
      <c:catAx>
        <c:axId val="154605056"/>
        <c:scaling>
          <c:orientation val="minMax"/>
        </c:scaling>
        <c:delete val="1"/>
        <c:axPos val="b"/>
        <c:numFmt formatCode="General" sourceLinked="1"/>
        <c:tickLblPos val="none"/>
        <c:crossAx val="154603520"/>
        <c:crosses val="autoZero"/>
        <c:auto val="1"/>
        <c:lblAlgn val="ctr"/>
        <c:lblOffset val="100"/>
      </c:catAx>
      <c:spPr>
        <a:noFill/>
        <a:ln>
          <a:noFill/>
        </a:ln>
        <a:effectLst/>
      </c:spPr>
    </c:plotArea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A1E43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autoTitleDeleted val="1"/>
    <c:plotArea>
      <c:layout>
        <c:manualLayout>
          <c:layoutTarget val="inner"/>
          <c:xMode val="edge"/>
          <c:yMode val="edge"/>
          <c:x val="0.16147133782190276"/>
          <c:y val="0.25577441099278364"/>
          <c:w val="0.67669291338582704"/>
          <c:h val="0.61290638146999932"/>
        </c:manualLayout>
      </c:layout>
      <c:barChart>
        <c:barDir val="bar"/>
        <c:grouping val="stacked"/>
        <c:ser>
          <c:idx val="0"/>
          <c:order val="0"/>
          <c:tx>
            <c:strRef>
              <c:f>'29 滑珠图'!$C$2</c:f>
              <c:strCache>
                <c:ptCount val="1"/>
                <c:pt idx="0">
                  <c:v>完成率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Pt>
            <c:idx val="0"/>
            <c:spPr>
              <a:blipFill>
                <a:blip xmlns:r="http://schemas.openxmlformats.org/officeDocument/2006/relationships" r:embed="rId1">
                  <a:extLst>
                    <a:ext uri="{96DAC541-7B7A-43D3-8B79-37D633B846F1}">
                      <asvg:svgBlip xmlns:asvg="http://schemas.microsoft.com/office/drawing/2016/SVG/main" xmlns:c16r2="http://schemas.microsoft.com/office/drawing/2015/06/chart" xmlns="" r:embed="rId4"/>
                    </a:ext>
                  </a:extLst>
                </a:blip>
                <a:stretch>
                  <a:fillRect/>
                </a:stretch>
              </a:blip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8169-4143-8B4B-25D9B3D2F46F}"/>
              </c:ext>
            </c:extLst>
          </c:dPt>
          <c:dPt>
            <c:idx val="1"/>
            <c:spPr>
              <a:blipFill>
                <a:blip xmlns:r="http://schemas.openxmlformats.org/officeDocument/2006/relationships" r:embed="rId5"/>
                <a:stretch>
                  <a:fillRect/>
                </a:stretch>
              </a:blip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169-4143-8B4B-25D9B3D2F46F}"/>
              </c:ext>
            </c:extLst>
          </c:dPt>
          <c:dPt>
            <c:idx val="2"/>
            <c:spPr>
              <a:blipFill>
                <a:blip xmlns:r="http://schemas.openxmlformats.org/officeDocument/2006/relationships" r:embed="rId6"/>
                <a:stretch>
                  <a:fillRect/>
                </a:stretch>
              </a:blip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169-4143-8B4B-25D9B3D2F46F}"/>
              </c:ext>
            </c:extLst>
          </c:dPt>
          <c:dPt>
            <c:idx val="3"/>
            <c:spPr>
              <a:blipFill>
                <a:blip xmlns:r="http://schemas.openxmlformats.org/officeDocument/2006/relationships" r:embed="rId7"/>
                <a:stretch>
                  <a:fillRect/>
                </a:stretch>
              </a:blip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169-4143-8B4B-25D9B3D2F46F}"/>
              </c:ext>
            </c:extLst>
          </c:dPt>
          <c:dPt>
            <c:idx val="4"/>
            <c:spPr>
              <a:blipFill>
                <a:blip xmlns:r="http://schemas.openxmlformats.org/officeDocument/2006/relationships" r:embed="rId8"/>
                <a:stretch>
                  <a:fillRect/>
                </a:stretch>
              </a:blip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169-4143-8B4B-25D9B3D2F46F}"/>
              </c:ext>
            </c:extLst>
          </c:dPt>
          <c:dLbls>
            <c:dLbl>
              <c:idx val="0"/>
              <c:layout>
                <c:manualLayout>
                  <c:x val="5.3177184373692378E-2"/>
                  <c:y val="3.4320020408250252E-3"/>
                </c:manualLayout>
              </c:layout>
              <c:dLblPos val="ct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169-4143-8B4B-25D9B3D2F46F}"/>
                </c:ext>
              </c:extLst>
            </c:dLbl>
            <c:dLbl>
              <c:idx val="1"/>
              <c:layout>
                <c:manualLayout>
                  <c:x val="9.5391418463996319E-2"/>
                  <c:y val="0"/>
                </c:manualLayout>
              </c:layout>
              <c:dLblPos val="ct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169-4143-8B4B-25D9B3D2F46F}"/>
                </c:ext>
              </c:extLst>
            </c:dLbl>
            <c:dLbl>
              <c:idx val="2"/>
              <c:layout>
                <c:manualLayout>
                  <c:x val="0.1293957548784663"/>
                  <c:y val="-6.2919310565883031E-17"/>
                </c:manualLayout>
              </c:layout>
              <c:dLblPos val="ct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169-4143-8B4B-25D9B3D2F46F}"/>
                </c:ext>
              </c:extLst>
            </c:dLbl>
            <c:dLbl>
              <c:idx val="3"/>
              <c:layout>
                <c:manualLayout>
                  <c:x val="0.16649111795808133"/>
                  <c:y val="-3.6130604162078948E-4"/>
                </c:manualLayout>
              </c:layout>
              <c:dLblPos val="ct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169-4143-8B4B-25D9B3D2F46F}"/>
                </c:ext>
              </c:extLst>
            </c:dLbl>
            <c:dLbl>
              <c:idx val="4"/>
              <c:layout>
                <c:manualLayout>
                  <c:x val="0.19875575335691734"/>
                  <c:y val="0"/>
                </c:manualLayout>
              </c:layout>
              <c:dLblPos val="ct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169-4143-8B4B-25D9B3D2F4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'29 滑珠图'!$B$3:$B$7</c:f>
              <c:strCache>
                <c:ptCount val="5"/>
                <c:pt idx="0">
                  <c:v>华东</c:v>
                </c:pt>
                <c:pt idx="1">
                  <c:v>西北</c:v>
                </c:pt>
                <c:pt idx="2">
                  <c:v>东北</c:v>
                </c:pt>
                <c:pt idx="3">
                  <c:v>华北</c:v>
                </c:pt>
                <c:pt idx="4">
                  <c:v>华南</c:v>
                </c:pt>
              </c:strCache>
            </c:strRef>
          </c:cat>
          <c:val>
            <c:numRef>
              <c:f>'29 滑珠图'!$C$3:$C$7</c:f>
              <c:numCache>
                <c:formatCode>0%</c:formatCode>
                <c:ptCount val="5"/>
                <c:pt idx="0">
                  <c:v>0.35</c:v>
                </c:pt>
                <c:pt idx="1">
                  <c:v>0.51</c:v>
                </c:pt>
                <c:pt idx="2">
                  <c:v>0.62</c:v>
                </c:pt>
                <c:pt idx="3">
                  <c:v>0.74</c:v>
                </c:pt>
                <c:pt idx="4">
                  <c:v>0.86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69-4143-8B4B-25D9B3D2F46F}"/>
            </c:ext>
          </c:extLst>
        </c:ser>
        <c:ser>
          <c:idx val="1"/>
          <c:order val="1"/>
          <c:tx>
            <c:strRef>
              <c:f>'29 滑珠图'!$D$2</c:f>
              <c:strCache>
                <c:ptCount val="1"/>
                <c:pt idx="0">
                  <c:v>未完成占比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dPt>
            <c:idx val="0"/>
            <c:spPr>
              <a:blipFill>
                <a:blip xmlns:r="http://schemas.openxmlformats.org/officeDocument/2006/relationships" r:embed="rId9"/>
                <a:stretch>
                  <a:fillRect/>
                </a:stretch>
              </a:blip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8169-4143-8B4B-25D9B3D2F46F}"/>
              </c:ext>
            </c:extLst>
          </c:dPt>
          <c:dPt>
            <c:idx val="1"/>
            <c:spPr>
              <a:blipFill>
                <a:blip xmlns:r="http://schemas.openxmlformats.org/officeDocument/2006/relationships" r:embed="rId10"/>
                <a:stretch>
                  <a:fillRect/>
                </a:stretch>
              </a:blip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A-8169-4143-8B4B-25D9B3D2F46F}"/>
              </c:ext>
            </c:extLst>
          </c:dPt>
          <c:dPt>
            <c:idx val="2"/>
            <c:spPr>
              <a:blipFill>
                <a:blip xmlns:r="http://schemas.openxmlformats.org/officeDocument/2006/relationships" r:embed="rId11"/>
                <a:stretch>
                  <a:fillRect/>
                </a:stretch>
              </a:blip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8169-4143-8B4B-25D9B3D2F46F}"/>
              </c:ext>
            </c:extLst>
          </c:dPt>
          <c:dPt>
            <c:idx val="3"/>
            <c:spPr>
              <a:blipFill>
                <a:blip xmlns:r="http://schemas.openxmlformats.org/officeDocument/2006/relationships" r:embed="rId12"/>
                <a:stretch>
                  <a:fillRect/>
                </a:stretch>
              </a:blip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6-8169-4143-8B4B-25D9B3D2F46F}"/>
              </c:ext>
            </c:extLst>
          </c:dPt>
          <c:dPt>
            <c:idx val="4"/>
            <c:spPr>
              <a:blipFill>
                <a:blip xmlns:r="http://schemas.openxmlformats.org/officeDocument/2006/relationships" r:embed="rId13"/>
                <a:stretch>
                  <a:fillRect/>
                </a:stretch>
              </a:blip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8169-4143-8B4B-25D9B3D2F46F}"/>
              </c:ext>
            </c:extLst>
          </c:dPt>
          <c:cat>
            <c:strRef>
              <c:f>'29 滑珠图'!$B$3:$B$7</c:f>
              <c:strCache>
                <c:ptCount val="5"/>
                <c:pt idx="0">
                  <c:v>华东</c:v>
                </c:pt>
                <c:pt idx="1">
                  <c:v>西北</c:v>
                </c:pt>
                <c:pt idx="2">
                  <c:v>东北</c:v>
                </c:pt>
                <c:pt idx="3">
                  <c:v>华北</c:v>
                </c:pt>
                <c:pt idx="4">
                  <c:v>华南</c:v>
                </c:pt>
              </c:strCache>
            </c:strRef>
          </c:cat>
          <c:val>
            <c:numRef>
              <c:f>'29 滑珠图'!$D$3:$D$7</c:f>
              <c:numCache>
                <c:formatCode>0%</c:formatCode>
                <c:ptCount val="5"/>
                <c:pt idx="0">
                  <c:v>0.65</c:v>
                </c:pt>
                <c:pt idx="1">
                  <c:v>0.49</c:v>
                </c:pt>
                <c:pt idx="2">
                  <c:v>0.38</c:v>
                </c:pt>
                <c:pt idx="3">
                  <c:v>0.26</c:v>
                </c:pt>
                <c:pt idx="4">
                  <c:v>0.14000000000000001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169-4143-8B4B-25D9B3D2F46F}"/>
            </c:ext>
          </c:extLst>
        </c:ser>
        <c:dLbls/>
        <c:overlap val="100"/>
        <c:axId val="167492992"/>
        <c:axId val="167498880"/>
      </c:barChart>
      <c:scatterChart>
        <c:scatterStyle val="lineMarker"/>
        <c:ser>
          <c:idx val="2"/>
          <c:order val="2"/>
          <c:tx>
            <c:strRef>
              <c:f>'29 滑珠图'!$E$2</c:f>
              <c:strCache>
                <c:ptCount val="1"/>
                <c:pt idx="0">
                  <c:v>辅助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0070C0"/>
              </a:solidFill>
              <a:ln w="12700">
                <a:solidFill>
                  <a:schemeClr val="bg1">
                    <a:lumMod val="95000"/>
                  </a:schemeClr>
                </a:solidFill>
              </a:ln>
              <a:effectLst/>
            </c:spPr>
          </c:marker>
          <c:xVal>
            <c:numRef>
              <c:f>'29 滑珠图'!$C$3:$C$7</c:f>
              <c:numCache>
                <c:formatCode>0%</c:formatCode>
                <c:ptCount val="5"/>
                <c:pt idx="0">
                  <c:v>0.35</c:v>
                </c:pt>
                <c:pt idx="1">
                  <c:v>0.51</c:v>
                </c:pt>
                <c:pt idx="2">
                  <c:v>0.62</c:v>
                </c:pt>
                <c:pt idx="3">
                  <c:v>0.74</c:v>
                </c:pt>
                <c:pt idx="4">
                  <c:v>0.86</c:v>
                </c:pt>
              </c:numCache>
            </c:numRef>
          </c:xVal>
          <c:yVal>
            <c:numRef>
              <c:f>'29 滑珠图'!$E$3:$E$7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</c:numCache>
            </c:numRef>
          </c:yVal>
          <c:extLst xmlns:c16r2="http://schemas.microsoft.com/office/drawing/2015/06/chart">
            <c:ext xmlns:c16="http://schemas.microsoft.com/office/drawing/2014/chart" uri="{C3380CC4-5D6E-409C-BE32-E72D297353CC}">
              <c16:uniqueId val="{00000002-8169-4143-8B4B-25D9B3D2F46F}"/>
            </c:ext>
          </c:extLst>
        </c:ser>
        <c:dLbls/>
        <c:axId val="167522688"/>
        <c:axId val="167500416"/>
      </c:scatterChart>
      <c:catAx>
        <c:axId val="167492992"/>
        <c:scaling>
          <c:orientation val="minMax"/>
        </c:scaling>
        <c:axPos val="l"/>
        <c:numFmt formatCode="General" sourceLinked="1"/>
        <c:maj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7498880"/>
        <c:crosses val="autoZero"/>
        <c:auto val="1"/>
        <c:lblAlgn val="ctr"/>
        <c:lblOffset val="100"/>
      </c:catAx>
      <c:valAx>
        <c:axId val="167498880"/>
        <c:scaling>
          <c:orientation val="minMax"/>
        </c:scaling>
        <c:delete val="1"/>
        <c:axPos val="b"/>
        <c:numFmt formatCode="0%" sourceLinked="1"/>
        <c:majorTickMark val="none"/>
        <c:tickLblPos val="none"/>
        <c:crossAx val="167492992"/>
        <c:crosses val="autoZero"/>
        <c:crossBetween val="between"/>
      </c:valAx>
      <c:valAx>
        <c:axId val="167500416"/>
        <c:scaling>
          <c:orientation val="minMax"/>
        </c:scaling>
        <c:axPos val="r"/>
        <c:numFmt formatCode="General" sourceLinked="1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7522688"/>
        <c:crosses val="max"/>
        <c:crossBetween val="midCat"/>
      </c:valAx>
      <c:valAx>
        <c:axId val="167522688"/>
        <c:scaling>
          <c:orientation val="minMax"/>
        </c:scaling>
        <c:delete val="1"/>
        <c:axPos val="b"/>
        <c:numFmt formatCode="0%" sourceLinked="1"/>
        <c:tickLblPos val="none"/>
        <c:crossAx val="167500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A1E43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4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autoTitleDeleted val="1"/>
    <c:plotArea>
      <c:layout>
        <c:manualLayout>
          <c:layoutTarget val="inner"/>
          <c:xMode val="edge"/>
          <c:yMode val="edge"/>
          <c:x val="0.14914003396634246"/>
          <c:y val="0.27112823449389983"/>
          <c:w val="0.77487957387679496"/>
          <c:h val="0.62247967348950684"/>
        </c:manualLayout>
      </c:layout>
      <c:barChart>
        <c:barDir val="bar"/>
        <c:grouping val="stacked"/>
        <c:ser>
          <c:idx val="0"/>
          <c:order val="0"/>
          <c:tx>
            <c:strRef>
              <c:f>'30 对比滑珠图'!$C$3</c:f>
              <c:strCache>
                <c:ptCount val="1"/>
                <c:pt idx="0">
                  <c:v>2022完成率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dLbls>
            <c:dLbl>
              <c:idx val="0"/>
              <c:layout>
                <c:manualLayout>
                  <c:x val="0.11354871082291186"/>
                  <c:y val="-4.8048041555881105E-2"/>
                </c:manualLayout>
              </c:layout>
              <c:dLblPos val="ct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535-4832-9312-0BA7E6BA883F}"/>
                </c:ext>
              </c:extLst>
            </c:dLbl>
            <c:dLbl>
              <c:idx val="1"/>
              <c:layout>
                <c:manualLayout>
                  <c:x val="0.16275629149297519"/>
                  <c:y val="-4.8048041555880973E-2"/>
                </c:manualLayout>
              </c:layout>
              <c:dLblPos val="ct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535-4832-9312-0BA7E6BA883F}"/>
                </c:ext>
              </c:extLst>
            </c:dLbl>
            <c:dLbl>
              <c:idx val="2"/>
              <c:layout>
                <c:manualLayout>
                  <c:x val="0.20562451752354474"/>
                  <c:y val="-4.8048041555881042E-2"/>
                </c:manualLayout>
              </c:layout>
              <c:dLblPos val="ct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783-4548-827C-089A44FC94D0}"/>
                </c:ext>
              </c:extLst>
            </c:dLbl>
            <c:dLbl>
              <c:idx val="3"/>
              <c:layout>
                <c:manualLayout>
                  <c:x val="0.23946657403118729"/>
                  <c:y val="-4.4616038587603782E-2"/>
                </c:manualLayout>
              </c:layout>
              <c:dLblPos val="ct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783-4548-827C-089A44FC94D0}"/>
                </c:ext>
              </c:extLst>
            </c:dLbl>
            <c:dLbl>
              <c:idx val="4"/>
              <c:layout>
                <c:manualLayout>
                  <c:x val="0.27821059132314346"/>
                  <c:y val="-4.8048041555880973E-2"/>
                </c:manualLayout>
              </c:layout>
              <c:dLblPos val="ct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535-4832-9312-0BA7E6BA88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'30 对比滑珠图'!$B$4:$B$8</c:f>
              <c:strCache>
                <c:ptCount val="5"/>
                <c:pt idx="0">
                  <c:v>华东</c:v>
                </c:pt>
                <c:pt idx="1">
                  <c:v>西北</c:v>
                </c:pt>
                <c:pt idx="2">
                  <c:v>东北</c:v>
                </c:pt>
                <c:pt idx="3">
                  <c:v>华北</c:v>
                </c:pt>
                <c:pt idx="4">
                  <c:v>华南</c:v>
                </c:pt>
              </c:strCache>
            </c:strRef>
          </c:cat>
          <c:val>
            <c:numRef>
              <c:f>'30 对比滑珠图'!$C$4:$C$8</c:f>
              <c:numCache>
                <c:formatCode>0%</c:formatCode>
                <c:ptCount val="5"/>
                <c:pt idx="0">
                  <c:v>0.35</c:v>
                </c:pt>
                <c:pt idx="1">
                  <c:v>0.51</c:v>
                </c:pt>
                <c:pt idx="2">
                  <c:v>0.62</c:v>
                </c:pt>
                <c:pt idx="3">
                  <c:v>0.74</c:v>
                </c:pt>
                <c:pt idx="4">
                  <c:v>0.86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83-4548-827C-089A44FC94D0}"/>
            </c:ext>
          </c:extLst>
        </c:ser>
        <c:ser>
          <c:idx val="2"/>
          <c:order val="2"/>
          <c:tx>
            <c:strRef>
              <c:f>'30 对比滑珠图'!$E$3</c:f>
              <c:strCache>
                <c:ptCount val="1"/>
                <c:pt idx="0">
                  <c:v>未完成占比</c:v>
                </c:pt>
              </c:strCache>
            </c:strRef>
          </c:tx>
          <c:spPr>
            <a:solidFill>
              <a:schemeClr val="bg1">
                <a:lumMod val="95000"/>
                <a:alpha val="40000"/>
              </a:schemeClr>
            </a:solidFill>
            <a:ln>
              <a:noFill/>
            </a:ln>
            <a:effectLst/>
          </c:spPr>
          <c:cat>
            <c:strRef>
              <c:f>'30 对比滑珠图'!$B$4:$B$8</c:f>
              <c:strCache>
                <c:ptCount val="5"/>
                <c:pt idx="0">
                  <c:v>华东</c:v>
                </c:pt>
                <c:pt idx="1">
                  <c:v>西北</c:v>
                </c:pt>
                <c:pt idx="2">
                  <c:v>东北</c:v>
                </c:pt>
                <c:pt idx="3">
                  <c:v>华北</c:v>
                </c:pt>
                <c:pt idx="4">
                  <c:v>华南</c:v>
                </c:pt>
              </c:strCache>
            </c:strRef>
          </c:cat>
          <c:val>
            <c:numRef>
              <c:f>'30 对比滑珠图'!$E$4:$E$8</c:f>
              <c:numCache>
                <c:formatCode>0%</c:formatCode>
                <c:ptCount val="5"/>
                <c:pt idx="0">
                  <c:v>0.65</c:v>
                </c:pt>
                <c:pt idx="1">
                  <c:v>0.49</c:v>
                </c:pt>
                <c:pt idx="2">
                  <c:v>0.38</c:v>
                </c:pt>
                <c:pt idx="3">
                  <c:v>0.26</c:v>
                </c:pt>
                <c:pt idx="4">
                  <c:v>0.14000000000000001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D783-4548-827C-089A44FC94D0}"/>
            </c:ext>
          </c:extLst>
        </c:ser>
        <c:dLbls/>
        <c:gapWidth val="500"/>
        <c:overlap val="100"/>
        <c:axId val="167744256"/>
        <c:axId val="167745792"/>
      </c:barChart>
      <c:scatterChart>
        <c:scatterStyle val="lineMarker"/>
        <c:ser>
          <c:idx val="1"/>
          <c:order val="1"/>
          <c:tx>
            <c:strRef>
              <c:f>'30 对比滑珠图'!$D$3</c:f>
              <c:strCache>
                <c:ptCount val="1"/>
                <c:pt idx="0">
                  <c:v>2021完成率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65000"/>
                </a:schemeClr>
              </a:solidFill>
              <a:ln w="12700">
                <a:solidFill>
                  <a:schemeClr val="bg1">
                    <a:lumMod val="95000"/>
                  </a:schemeClr>
                </a:solidFill>
              </a:ln>
              <a:effectLst/>
            </c:spPr>
          </c:marker>
          <c:xVal>
            <c:numRef>
              <c:f>'30 对比滑珠图'!$D$4:$D$8</c:f>
              <c:numCache>
                <c:formatCode>0%</c:formatCode>
                <c:ptCount val="5"/>
                <c:pt idx="0">
                  <c:v>0.45</c:v>
                </c:pt>
                <c:pt idx="1">
                  <c:v>0.39</c:v>
                </c:pt>
                <c:pt idx="2">
                  <c:v>0.53</c:v>
                </c:pt>
                <c:pt idx="3">
                  <c:v>0.69</c:v>
                </c:pt>
                <c:pt idx="4">
                  <c:v>0.92</c:v>
                </c:pt>
              </c:numCache>
            </c:numRef>
          </c:xVal>
          <c:yVal>
            <c:numRef>
              <c:f>'30 对比滑珠图'!$F$4:$F$8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</c:numCache>
            </c:numRef>
          </c:yVal>
          <c:extLst xmlns:c16r2="http://schemas.microsoft.com/office/drawing/2015/06/chart">
            <c:ext xmlns:c16="http://schemas.microsoft.com/office/drawing/2014/chart" uri="{C3380CC4-5D6E-409C-BE32-E72D297353CC}">
              <c16:uniqueId val="{00000001-D783-4548-827C-089A44FC94D0}"/>
            </c:ext>
          </c:extLst>
        </c:ser>
        <c:ser>
          <c:idx val="3"/>
          <c:order val="3"/>
          <c:tx>
            <c:strRef>
              <c:f>'30 对比滑珠图'!$F$3</c:f>
              <c:strCache>
                <c:ptCount val="1"/>
                <c:pt idx="0">
                  <c:v>辅助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0070C0"/>
              </a:solidFill>
              <a:ln w="12700">
                <a:solidFill>
                  <a:schemeClr val="bg1">
                    <a:lumMod val="95000"/>
                  </a:schemeClr>
                </a:solidFill>
              </a:ln>
              <a:effectLst/>
            </c:spPr>
          </c:marker>
          <c:xVal>
            <c:numRef>
              <c:f>'30 对比滑珠图'!$C$4:$C$8</c:f>
              <c:numCache>
                <c:formatCode>0%</c:formatCode>
                <c:ptCount val="5"/>
                <c:pt idx="0">
                  <c:v>0.35</c:v>
                </c:pt>
                <c:pt idx="1">
                  <c:v>0.51</c:v>
                </c:pt>
                <c:pt idx="2">
                  <c:v>0.62</c:v>
                </c:pt>
                <c:pt idx="3">
                  <c:v>0.74</c:v>
                </c:pt>
                <c:pt idx="4">
                  <c:v>0.86</c:v>
                </c:pt>
              </c:numCache>
            </c:numRef>
          </c:xVal>
          <c:yVal>
            <c:numRef>
              <c:f>'30 对比滑珠图'!$F$4:$F$8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</c:numCache>
            </c:numRef>
          </c:yVal>
          <c:extLst xmlns:c16r2="http://schemas.microsoft.com/office/drawing/2015/06/chart">
            <c:ext xmlns:c16="http://schemas.microsoft.com/office/drawing/2014/chart" uri="{C3380CC4-5D6E-409C-BE32-E72D297353CC}">
              <c16:uniqueId val="{00000003-D783-4548-827C-089A44FC94D0}"/>
            </c:ext>
          </c:extLst>
        </c:ser>
        <c:dLbls/>
        <c:axId val="167749120"/>
        <c:axId val="167747584"/>
      </c:scatterChart>
      <c:catAx>
        <c:axId val="167744256"/>
        <c:scaling>
          <c:orientation val="minMax"/>
        </c:scaling>
        <c:axPos val="l"/>
        <c:numFmt formatCode="General" sourceLinked="1"/>
        <c:maj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7745792"/>
        <c:crosses val="autoZero"/>
        <c:auto val="1"/>
        <c:lblAlgn val="ctr"/>
        <c:lblOffset val="100"/>
      </c:catAx>
      <c:valAx>
        <c:axId val="167745792"/>
        <c:scaling>
          <c:orientation val="minMax"/>
        </c:scaling>
        <c:delete val="1"/>
        <c:axPos val="b"/>
        <c:numFmt formatCode="0%" sourceLinked="1"/>
        <c:majorTickMark val="none"/>
        <c:tickLblPos val="none"/>
        <c:crossAx val="167744256"/>
        <c:crosses val="autoZero"/>
        <c:crossBetween val="between"/>
      </c:valAx>
      <c:valAx>
        <c:axId val="167747584"/>
        <c:scaling>
          <c:orientation val="minMax"/>
        </c:scaling>
        <c:axPos val="r"/>
        <c:numFmt formatCode="General" sourceLinked="1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7749120"/>
        <c:crosses val="max"/>
        <c:crossBetween val="midCat"/>
      </c:valAx>
      <c:valAx>
        <c:axId val="167749120"/>
        <c:scaling>
          <c:orientation val="minMax"/>
        </c:scaling>
        <c:delete val="1"/>
        <c:axPos val="b"/>
        <c:numFmt formatCode="0%" sourceLinked="1"/>
        <c:tickLblPos val="none"/>
        <c:crossAx val="167747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A1E43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261940</xdr:colOff>
      <xdr:row>2</xdr:row>
      <xdr:rowOff>114300</xdr:rowOff>
    </xdr:from>
    <xdr:to>
      <xdr:col>18</xdr:col>
      <xdr:colOff>528640</xdr:colOff>
      <xdr:row>7</xdr:row>
      <xdr:rowOff>147636</xdr:rowOff>
    </xdr:to>
    <xdr:sp macro="" textlink="">
      <xdr:nvSpPr>
        <xdr:cNvPr id="3" name="椭圆 2">
          <a:extLst>
            <a:ext uri="{FF2B5EF4-FFF2-40B4-BE49-F238E27FC236}">
              <a16:creationId xmlns:a16="http://schemas.microsoft.com/office/drawing/2014/main" xmlns="" id="{B1A18566-9D1F-4F7A-9E79-477512CEB563}"/>
            </a:ext>
          </a:extLst>
        </xdr:cNvPr>
        <xdr:cNvSpPr/>
      </xdr:nvSpPr>
      <xdr:spPr>
        <a:xfrm>
          <a:off x="11272840" y="466725"/>
          <a:ext cx="914400" cy="914399"/>
        </a:xfrm>
        <a:prstGeom prst="ellipse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214313</xdr:colOff>
      <xdr:row>2</xdr:row>
      <xdr:rowOff>133350</xdr:rowOff>
    </xdr:from>
    <xdr:to>
      <xdr:col>16</xdr:col>
      <xdr:colOff>481013</xdr:colOff>
      <xdr:row>7</xdr:row>
      <xdr:rowOff>166688</xdr:rowOff>
    </xdr:to>
    <xdr:sp macro="" textlink="">
      <xdr:nvSpPr>
        <xdr:cNvPr id="4" name="椭圆 3">
          <a:extLst>
            <a:ext uri="{FF2B5EF4-FFF2-40B4-BE49-F238E27FC236}">
              <a16:creationId xmlns:a16="http://schemas.microsoft.com/office/drawing/2014/main" xmlns="" id="{B9E50A83-06F1-432E-B0B5-84F244482D9A}"/>
            </a:ext>
          </a:extLst>
        </xdr:cNvPr>
        <xdr:cNvSpPr/>
      </xdr:nvSpPr>
      <xdr:spPr>
        <a:xfrm>
          <a:off x="9929813" y="485775"/>
          <a:ext cx="914400" cy="914401"/>
        </a:xfrm>
        <a:prstGeom prst="ellipse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161926</xdr:colOff>
      <xdr:row>10</xdr:row>
      <xdr:rowOff>42864</xdr:rowOff>
    </xdr:from>
    <xdr:to>
      <xdr:col>16</xdr:col>
      <xdr:colOff>428626</xdr:colOff>
      <xdr:row>15</xdr:row>
      <xdr:rowOff>76200</xdr:rowOff>
    </xdr:to>
    <xdr:sp macro="" textlink="">
      <xdr:nvSpPr>
        <xdr:cNvPr id="5" name="椭圆 4">
          <a:extLst>
            <a:ext uri="{FF2B5EF4-FFF2-40B4-BE49-F238E27FC236}">
              <a16:creationId xmlns:a16="http://schemas.microsoft.com/office/drawing/2014/main" xmlns="" id="{E421A705-289B-4F88-96D0-6154AE3A1E78}"/>
            </a:ext>
          </a:extLst>
        </xdr:cNvPr>
        <xdr:cNvSpPr/>
      </xdr:nvSpPr>
      <xdr:spPr>
        <a:xfrm>
          <a:off x="9877426" y="1804989"/>
          <a:ext cx="914400" cy="914399"/>
        </a:xfrm>
        <a:prstGeom prst="ellipse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252412</xdr:colOff>
      <xdr:row>1</xdr:row>
      <xdr:rowOff>142875</xdr:rowOff>
    </xdr:from>
    <xdr:to>
      <xdr:col>12</xdr:col>
      <xdr:colOff>366718</xdr:colOff>
      <xdr:row>6</xdr:row>
      <xdr:rowOff>166667</xdr:rowOff>
    </xdr:to>
    <xdr:sp macro="" textlink="">
      <xdr:nvSpPr>
        <xdr:cNvPr id="6" name="文本框 11">
          <a:extLst>
            <a:ext uri="{FF2B5EF4-FFF2-40B4-BE49-F238E27FC236}">
              <a16:creationId xmlns:a16="http://schemas.microsoft.com/office/drawing/2014/main" xmlns="" id="{449863E5-DD97-4018-8348-9AB283540AE3}"/>
            </a:ext>
          </a:extLst>
        </xdr:cNvPr>
        <xdr:cNvSpPr txBox="1"/>
      </xdr:nvSpPr>
      <xdr:spPr>
        <a:xfrm>
          <a:off x="3490912" y="319088"/>
          <a:ext cx="4648206" cy="9048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20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本科及以上学历员占比</a:t>
          </a:r>
          <a:endParaRPr lang="en-US" altLang="zh-CN" sz="2000" b="1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r>
            <a:rPr lang="en-US" altLang="zh-CN" sz="14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6</a:t>
          </a:r>
          <a:r>
            <a:rPr lang="zh-CN" altLang="en-US" sz="14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月</a:t>
          </a:r>
          <a:r>
            <a:rPr lang="en-US" altLang="zh-CN" sz="14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30</a:t>
          </a:r>
          <a:r>
            <a:rPr lang="zh-CN" altLang="en-US" sz="14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日最新统计数据本科及以上员工占比</a:t>
          </a:r>
          <a:r>
            <a:rPr lang="en-US" altLang="zh-CN" sz="14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65%</a:t>
          </a:r>
          <a:endParaRPr lang="zh-CN" altLang="en-US" sz="1200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5</xdr:col>
      <xdr:colOff>247650</xdr:colOff>
      <xdr:row>20</xdr:row>
      <xdr:rowOff>176211</xdr:rowOff>
    </xdr:from>
    <xdr:to>
      <xdr:col>11</xdr:col>
      <xdr:colOff>514347</xdr:colOff>
      <xdr:row>22</xdr:row>
      <xdr:rowOff>76237</xdr:rowOff>
    </xdr:to>
    <xdr:sp macro="" textlink="">
      <xdr:nvSpPr>
        <xdr:cNvPr id="7" name="文本框 12">
          <a:extLst>
            <a:ext uri="{FF2B5EF4-FFF2-40B4-BE49-F238E27FC236}">
              <a16:creationId xmlns:a16="http://schemas.microsoft.com/office/drawing/2014/main" xmlns="" id="{5904EF54-8F46-4492-BA28-C051F69E50AE}"/>
            </a:ext>
          </a:extLst>
        </xdr:cNvPr>
        <xdr:cNvSpPr txBox="1"/>
      </xdr:nvSpPr>
      <xdr:spPr>
        <a:xfrm>
          <a:off x="3486150" y="3700461"/>
          <a:ext cx="4152897" cy="2524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*</a:t>
          </a:r>
          <a:r>
            <a:rPr lang="zh-CN" altLang="en-US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注：数据来源于公司人力资源系统</a:t>
          </a:r>
        </a:p>
      </xdr:txBody>
    </xdr:sp>
    <xdr:clientData/>
  </xdr:twoCellAnchor>
  <xdr:twoCellAnchor>
    <xdr:from>
      <xdr:col>17</xdr:col>
      <xdr:colOff>390226</xdr:colOff>
      <xdr:row>11</xdr:row>
      <xdr:rowOff>23811</xdr:rowOff>
    </xdr:from>
    <xdr:to>
      <xdr:col>18</xdr:col>
      <xdr:colOff>390526</xdr:colOff>
      <xdr:row>15</xdr:row>
      <xdr:rowOff>114299</xdr:rowOff>
    </xdr:to>
    <xdr:grpSp>
      <xdr:nvGrpSpPr>
        <xdr:cNvPr id="8" name="组合 7">
          <a:extLst>
            <a:ext uri="{FF2B5EF4-FFF2-40B4-BE49-F238E27FC236}">
              <a16:creationId xmlns:a16="http://schemas.microsoft.com/office/drawing/2014/main" xmlns="" id="{CD7B0F41-E078-4ECB-AE01-3D30EECDECC8}"/>
            </a:ext>
          </a:extLst>
        </xdr:cNvPr>
        <xdr:cNvGrpSpPr/>
      </xdr:nvGrpSpPr>
      <xdr:grpSpPr>
        <a:xfrm>
          <a:off x="12048826" y="1947861"/>
          <a:ext cx="686100" cy="776288"/>
          <a:chOff x="5829000" y="1233488"/>
          <a:chExt cx="648000" cy="795337"/>
        </a:xfrm>
      </xdr:grpSpPr>
      <xdr:sp macro="" textlink="">
        <xdr:nvSpPr>
          <xdr:cNvPr id="9" name="矩形 8">
            <a:extLst>
              <a:ext uri="{FF2B5EF4-FFF2-40B4-BE49-F238E27FC236}">
                <a16:creationId xmlns:a16="http://schemas.microsoft.com/office/drawing/2014/main" xmlns="" id="{550E0EE1-F02B-C714-40D6-E72CD1808424}"/>
              </a:ext>
            </a:extLst>
          </xdr:cNvPr>
          <xdr:cNvSpPr/>
        </xdr:nvSpPr>
        <xdr:spPr>
          <a:xfrm>
            <a:off x="5829000" y="1409700"/>
            <a:ext cx="648000" cy="619125"/>
          </a:xfrm>
          <a:prstGeom prst="rect">
            <a:avLst/>
          </a:prstGeom>
          <a:solidFill>
            <a:srgbClr val="0070C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0" name="双波形 9">
            <a:extLst>
              <a:ext uri="{FF2B5EF4-FFF2-40B4-BE49-F238E27FC236}">
                <a16:creationId xmlns:a16="http://schemas.microsoft.com/office/drawing/2014/main" xmlns="" id="{6C8E2220-B035-3EA2-30A1-A1FCA1B342D1}"/>
              </a:ext>
            </a:extLst>
          </xdr:cNvPr>
          <xdr:cNvSpPr/>
        </xdr:nvSpPr>
        <xdr:spPr>
          <a:xfrm>
            <a:off x="5829000" y="1233488"/>
            <a:ext cx="648000" cy="684000"/>
          </a:xfrm>
          <a:prstGeom prst="doubleWave">
            <a:avLst>
              <a:gd name="adj1" fmla="val 6250"/>
              <a:gd name="adj2" fmla="val 0"/>
            </a:avLst>
          </a:prstGeom>
          <a:solidFill>
            <a:srgbClr val="0070C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7</xdr:col>
      <xdr:colOff>152400</xdr:colOff>
      <xdr:row>6</xdr:row>
      <xdr:rowOff>61912</xdr:rowOff>
    </xdr:from>
    <xdr:to>
      <xdr:col>11</xdr:col>
      <xdr:colOff>81600</xdr:colOff>
      <xdr:row>20</xdr:row>
      <xdr:rowOff>114937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xmlns="" id="{4DF9D96E-487D-4FA0-B01B-73B73545BC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0.02016</cdr:x>
      <cdr:y>0.02016</cdr:y>
    </cdr:from>
    <cdr:to>
      <cdr:x>0.96888</cdr:x>
      <cdr:y>0.96888</cdr:y>
    </cdr:to>
    <cdr:sp macro="" textlink="">
      <cdr:nvSpPr>
        <cdr:cNvPr id="2" name="椭圆 1">
          <a:extLst xmlns:a="http://schemas.openxmlformats.org/drawingml/2006/main">
            <a:ext uri="{FF2B5EF4-FFF2-40B4-BE49-F238E27FC236}">
              <a16:creationId xmlns:a16="http://schemas.microsoft.com/office/drawing/2014/main" xmlns="" id="{2BAE471F-7638-A996-A8B5-70F22461CEEA}"/>
            </a:ext>
          </a:extLst>
        </cdr:cNvPr>
        <cdr:cNvSpPr/>
      </cdr:nvSpPr>
      <cdr:spPr>
        <a:xfrm xmlns:a="http://schemas.openxmlformats.org/drawingml/2006/main">
          <a:off x="50800" y="50800"/>
          <a:ext cx="2390775" cy="2390775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 w="19050">
          <a:solidFill>
            <a:srgbClr val="0070C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zh-CN" altLang="en-US" sz="1100"/>
        </a:p>
      </cdr:txBody>
    </cdr:sp>
  </cdr:relSizeAnchor>
  <cdr:relSizeAnchor xmlns:cdr="http://schemas.openxmlformats.org/drawingml/2006/chartDrawing">
    <cdr:from>
      <cdr:x>0.28285</cdr:x>
      <cdr:y>0.36223</cdr:y>
    </cdr:from>
    <cdr:to>
      <cdr:x>0.75154</cdr:x>
      <cdr:y>0.54177</cdr:y>
    </cdr:to>
    <cdr:sp macro="" textlink="">
      <cdr:nvSpPr>
        <cdr:cNvPr id="4" name="文本框 1">
          <a:extLst xmlns:a="http://schemas.openxmlformats.org/drawingml/2006/main">
            <a:ext uri="{FF2B5EF4-FFF2-40B4-BE49-F238E27FC236}">
              <a16:creationId xmlns:a16="http://schemas.microsoft.com/office/drawing/2014/main" xmlns="" id="{F0BEE26E-1403-3CF4-F8BC-15FBBF1A3659}"/>
            </a:ext>
          </a:extLst>
        </cdr:cNvPr>
        <cdr:cNvSpPr txBox="1"/>
      </cdr:nvSpPr>
      <cdr:spPr>
        <a:xfrm xmlns:a="http://schemas.openxmlformats.org/drawingml/2006/main">
          <a:off x="712788" y="912812"/>
          <a:ext cx="1181100" cy="4524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altLang="zh-CN" sz="4000">
              <a:solidFill>
                <a:schemeClr val="bg1"/>
              </a:solidFill>
            </a:rPr>
            <a:t>65%</a:t>
          </a:r>
          <a:endParaRPr lang="zh-CN" altLang="en-US" sz="4000">
            <a:solidFill>
              <a:schemeClr val="bg1"/>
            </a:solidFill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13</xdr:col>
      <xdr:colOff>0</xdr:colOff>
      <xdr:row>21</xdr:row>
      <xdr:rowOff>176211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B3DAE948-D649-4DF1-8DEC-CC7D951BD6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0.4034</cdr:x>
      <cdr:y>0.25929</cdr:y>
    </cdr:from>
    <cdr:to>
      <cdr:x>0.54101</cdr:x>
      <cdr:y>0.58521</cdr:y>
    </cdr:to>
    <cdr:sp macro="" textlink="">
      <cdr:nvSpPr>
        <cdr:cNvPr id="3" name="文本框 5">
          <a:extLst xmlns:a="http://schemas.openxmlformats.org/drawingml/2006/main">
            <a:ext uri="{FF2B5EF4-FFF2-40B4-BE49-F238E27FC236}">
              <a16:creationId xmlns:a16="http://schemas.microsoft.com/office/drawing/2014/main" xmlns="" id="{73766EB3-C066-0F56-ECC9-F4E1C31FD8B0}"/>
            </a:ext>
          </a:extLst>
        </cdr:cNvPr>
        <cdr:cNvSpPr txBox="1"/>
      </cdr:nvSpPr>
      <cdr:spPr>
        <a:xfrm xmlns:a="http://schemas.openxmlformats.org/drawingml/2006/main">
          <a:off x="2090283" y="959504"/>
          <a:ext cx="713014" cy="12060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>
              <a:solidFill>
                <a:schemeClr val="bg1">
                  <a:lumMod val="95000"/>
                </a:schemeClr>
              </a:solidFill>
            </a:rPr>
            <a:t>[20,30)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>
              <a:solidFill>
                <a:schemeClr val="bg1">
                  <a:lumMod val="95000"/>
                </a:schemeClr>
              </a:solidFill>
              <a:effectLst/>
              <a:latin typeface="+mn-lt"/>
              <a:ea typeface="+mn-ea"/>
              <a:cs typeface="+mn-cs"/>
            </a:rPr>
            <a:t>[30,40)</a:t>
          </a:r>
          <a:endParaRPr lang="zh-CN" altLang="zh-CN">
            <a:solidFill>
              <a:schemeClr val="bg1">
                <a:lumMod val="95000"/>
              </a:schemeClr>
            </a:solidFill>
            <a:effectLst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>
              <a:solidFill>
                <a:schemeClr val="bg1">
                  <a:lumMod val="95000"/>
                </a:schemeClr>
              </a:solidFill>
              <a:effectLst/>
              <a:latin typeface="+mn-lt"/>
              <a:ea typeface="+mn-ea"/>
              <a:cs typeface="+mn-cs"/>
            </a:rPr>
            <a:t>[40,50)</a:t>
          </a:r>
          <a:endParaRPr lang="zh-CN" altLang="zh-CN">
            <a:solidFill>
              <a:schemeClr val="bg1">
                <a:lumMod val="95000"/>
              </a:schemeClr>
            </a:solidFill>
            <a:effectLst/>
          </a:endParaRPr>
        </a:p>
        <a:p xmlns:a="http://schemas.openxmlformats.org/drawingml/2006/main">
          <a:pPr>
            <a:lnSpc>
              <a:spcPts val="1500"/>
            </a:lnSpc>
          </a:pPr>
          <a:r>
            <a:rPr lang="en-US" altLang="zh-CN" sz="1100">
              <a:solidFill>
                <a:schemeClr val="bg1">
                  <a:lumMod val="95000"/>
                </a:schemeClr>
              </a:solidFill>
            </a:rPr>
            <a:t>&gt;=50</a:t>
          </a:r>
        </a:p>
        <a:p xmlns:a="http://schemas.openxmlformats.org/drawingml/2006/main">
          <a:endParaRPr lang="zh-CN" altLang="en-US" sz="1100">
            <a:solidFill>
              <a:schemeClr val="bg1">
                <a:lumMod val="95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0.04933</cdr:x>
      <cdr:y>0.02918</cdr:y>
    </cdr:from>
    <cdr:to>
      <cdr:x>0.94639</cdr:x>
      <cdr:y>0.2737</cdr:y>
    </cdr:to>
    <cdr:sp macro="" textlink="">
      <cdr:nvSpPr>
        <cdr:cNvPr id="4" name="文本框 11">
          <a:extLst xmlns:a="http://schemas.openxmlformats.org/drawingml/2006/main">
            <a:ext uri="{FF2B5EF4-FFF2-40B4-BE49-F238E27FC236}">
              <a16:creationId xmlns:a16="http://schemas.microsoft.com/office/drawing/2014/main" xmlns="" id="{E4235895-468F-81BC-7E34-812CCF467ECA}"/>
            </a:ext>
          </a:extLst>
        </cdr:cNvPr>
        <cdr:cNvSpPr txBox="1"/>
      </cdr:nvSpPr>
      <cdr:spPr>
        <a:xfrm xmlns:a="http://schemas.openxmlformats.org/drawingml/2006/main">
          <a:off x="255602" y="107961"/>
          <a:ext cx="4648206" cy="9048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20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2022</a:t>
          </a:r>
          <a:r>
            <a:rPr lang="zh-CN" altLang="en-US" sz="20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年上半年龄分布</a:t>
          </a:r>
          <a:endParaRPr lang="en-US" altLang="zh-CN" sz="2000" b="1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 xmlns:a="http://schemas.openxmlformats.org/drawingml/2006/main">
          <a:pPr>
            <a:lnSpc>
              <a:spcPts val="2000"/>
            </a:lnSpc>
          </a:pPr>
          <a:r>
            <a:rPr lang="zh-CN" altLang="en-US" sz="14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公司平均年龄</a:t>
          </a:r>
          <a:r>
            <a:rPr lang="en-US" altLang="zh-CN" sz="14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32.5</a:t>
          </a:r>
          <a:r>
            <a:rPr lang="zh-CN" altLang="en-US" sz="14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，</a:t>
          </a:r>
          <a:r>
            <a:rPr lang="en-US" altLang="zh-CN" sz="14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23-30</a:t>
          </a:r>
          <a:r>
            <a:rPr lang="zh-CN" altLang="en-US" sz="14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员工比例最高</a:t>
          </a:r>
          <a:endParaRPr lang="zh-CN" altLang="en-US" sz="1200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  <cdr:relSizeAnchor xmlns:cdr="http://schemas.openxmlformats.org/drawingml/2006/chartDrawing">
    <cdr:from>
      <cdr:x>0.04382</cdr:x>
      <cdr:y>0.91206</cdr:y>
    </cdr:from>
    <cdr:to>
      <cdr:x>0.84529</cdr:x>
      <cdr:y>0.98028</cdr:y>
    </cdr:to>
    <cdr:sp macro="" textlink="">
      <cdr:nvSpPr>
        <cdr:cNvPr id="5" name="文本框 12">
          <a:extLst xmlns:a="http://schemas.openxmlformats.org/drawingml/2006/main">
            <a:ext uri="{FF2B5EF4-FFF2-40B4-BE49-F238E27FC236}">
              <a16:creationId xmlns:a16="http://schemas.microsoft.com/office/drawing/2014/main" xmlns="" id="{00000000-0008-0000-0A00-000009000000}"/>
            </a:ext>
          </a:extLst>
        </cdr:cNvPr>
        <cdr:cNvSpPr txBox="1"/>
      </cdr:nvSpPr>
      <cdr:spPr>
        <a:xfrm xmlns:a="http://schemas.openxmlformats.org/drawingml/2006/main">
          <a:off x="227034" y="3375038"/>
          <a:ext cx="4152897" cy="25244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*</a:t>
          </a:r>
          <a:r>
            <a:rPr lang="zh-CN" altLang="en-US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注：数据来源于公司人力资源系统，统计日期截至</a:t>
          </a:r>
          <a:r>
            <a:rPr lang="en-US" altLang="zh-CN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2022.06.30</a:t>
          </a:r>
          <a:endParaRPr lang="zh-CN" altLang="en-US" sz="800">
            <a:solidFill>
              <a:schemeClr val="bg1">
                <a:lumMod val="85000"/>
              </a:schemeClr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13</xdr:col>
      <xdr:colOff>0</xdr:colOff>
      <xdr:row>23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B759E6BC-35B9-4E6D-BBCB-F3A39BAB9C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0.34283</cdr:x>
      <cdr:y>0.23736</cdr:y>
    </cdr:from>
    <cdr:to>
      <cdr:x>0.55366</cdr:x>
      <cdr:y>0.43612</cdr:y>
    </cdr:to>
    <cdr:sp macro="" textlink="">
      <cdr:nvSpPr>
        <cdr:cNvPr id="2" name="文本框 5">
          <a:extLst xmlns:a="http://schemas.openxmlformats.org/drawingml/2006/main">
            <a:ext uri="{FF2B5EF4-FFF2-40B4-BE49-F238E27FC236}">
              <a16:creationId xmlns:a16="http://schemas.microsoft.com/office/drawing/2014/main" xmlns="" id="{6CAEC32E-E9F6-813C-D739-E118D81A977F}"/>
            </a:ext>
          </a:extLst>
        </cdr:cNvPr>
        <cdr:cNvSpPr txBox="1"/>
      </cdr:nvSpPr>
      <cdr:spPr>
        <a:xfrm xmlns:a="http://schemas.openxmlformats.org/drawingml/2006/main">
          <a:off x="1776410" y="920152"/>
          <a:ext cx="1092452" cy="77053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ts val="9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 sz="700">
              <a:solidFill>
                <a:schemeClr val="bg1">
                  <a:lumMod val="95000"/>
                </a:schemeClr>
              </a:solidFill>
            </a:rPr>
            <a:t>销售部</a:t>
          </a:r>
          <a:r>
            <a:rPr lang="zh-CN" altLang="en-US" sz="700" baseline="0">
              <a:solidFill>
                <a:schemeClr val="bg1">
                  <a:lumMod val="95000"/>
                </a:schemeClr>
              </a:solidFill>
            </a:rPr>
            <a:t> </a:t>
          </a:r>
          <a:r>
            <a:rPr lang="en-US" altLang="zh-CN" sz="700">
              <a:solidFill>
                <a:schemeClr val="bg1">
                  <a:lumMod val="95000"/>
                </a:schemeClr>
              </a:solidFill>
            </a:rPr>
            <a:t>451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ts val="9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 sz="700">
              <a:solidFill>
                <a:schemeClr val="bg1">
                  <a:lumMod val="95000"/>
                </a:schemeClr>
              </a:solidFill>
            </a:rPr>
            <a:t>采购部 </a:t>
          </a:r>
          <a:r>
            <a:rPr lang="en-US" altLang="zh-CN" sz="700">
              <a:solidFill>
                <a:schemeClr val="bg1">
                  <a:lumMod val="95000"/>
                </a:schemeClr>
              </a:solidFill>
            </a:rPr>
            <a:t>326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ts val="9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 sz="700">
              <a:solidFill>
                <a:schemeClr val="bg1">
                  <a:lumMod val="95000"/>
                </a:schemeClr>
              </a:solidFill>
            </a:rPr>
            <a:t>工程部 </a:t>
          </a:r>
          <a:r>
            <a:rPr lang="en-US" altLang="zh-CN" sz="700">
              <a:solidFill>
                <a:schemeClr val="bg1">
                  <a:lumMod val="95000"/>
                </a:schemeClr>
              </a:solidFill>
            </a:rPr>
            <a:t>293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ts val="9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 sz="700">
              <a:solidFill>
                <a:schemeClr val="bg1">
                  <a:lumMod val="95000"/>
                </a:schemeClr>
              </a:solidFill>
            </a:rPr>
            <a:t>财务部 </a:t>
          </a:r>
          <a:r>
            <a:rPr lang="en-US" altLang="zh-CN" sz="700">
              <a:solidFill>
                <a:schemeClr val="bg1">
                  <a:lumMod val="95000"/>
                </a:schemeClr>
              </a:solidFill>
            </a:rPr>
            <a:t>238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ts val="9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 sz="700">
              <a:solidFill>
                <a:schemeClr val="bg1">
                  <a:lumMod val="95000"/>
                </a:schemeClr>
              </a:solidFill>
            </a:rPr>
            <a:t>行政部 </a:t>
          </a:r>
          <a:r>
            <a:rPr lang="en-US" altLang="zh-CN" sz="700">
              <a:solidFill>
                <a:schemeClr val="bg1">
                  <a:lumMod val="95000"/>
                </a:schemeClr>
              </a:solidFill>
            </a:rPr>
            <a:t>226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ts val="9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 sz="700">
              <a:solidFill>
                <a:schemeClr val="bg1">
                  <a:lumMod val="95000"/>
                </a:schemeClr>
              </a:solidFill>
            </a:rPr>
            <a:t>人力部 </a:t>
          </a:r>
          <a:r>
            <a:rPr lang="en-US" altLang="zh-CN" sz="700">
              <a:solidFill>
                <a:schemeClr val="bg1">
                  <a:lumMod val="95000"/>
                </a:schemeClr>
              </a:solidFill>
            </a:rPr>
            <a:t>130</a:t>
          </a:r>
        </a:p>
        <a:p xmlns:a="http://schemas.openxmlformats.org/drawingml/2006/main">
          <a:endParaRPr lang="zh-CN" altLang="en-US" sz="1000">
            <a:solidFill>
              <a:schemeClr val="bg1">
                <a:lumMod val="95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0.0291</cdr:x>
      <cdr:y>0.9136</cdr:y>
    </cdr:from>
    <cdr:to>
      <cdr:x>0.73897</cdr:x>
      <cdr:y>0.98158</cdr:y>
    </cdr:to>
    <cdr:sp macro="" textlink="">
      <cdr:nvSpPr>
        <cdr:cNvPr id="4" name="文本框 12">
          <a:extLst xmlns:a="http://schemas.openxmlformats.org/drawingml/2006/main">
            <a:ext uri="{FF2B5EF4-FFF2-40B4-BE49-F238E27FC236}">
              <a16:creationId xmlns:a16="http://schemas.microsoft.com/office/drawing/2014/main" xmlns="" id="{8576AC34-7234-2831-ECF5-9D5830D832BB}"/>
            </a:ext>
          </a:extLst>
        </cdr:cNvPr>
        <cdr:cNvSpPr txBox="1"/>
      </cdr:nvSpPr>
      <cdr:spPr>
        <a:xfrm xmlns:a="http://schemas.openxmlformats.org/drawingml/2006/main">
          <a:off x="150806" y="3541716"/>
          <a:ext cx="3678262" cy="263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*</a:t>
          </a:r>
          <a:r>
            <a:rPr lang="zh-CN" altLang="en-US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注：数据来源于公司人力资源系统，统计日期截止</a:t>
          </a:r>
          <a:r>
            <a:rPr lang="en-US" altLang="zh-CN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2022.06.30</a:t>
          </a:r>
          <a:endParaRPr lang="zh-CN" altLang="en-US" sz="800">
            <a:solidFill>
              <a:schemeClr val="bg1">
                <a:lumMod val="85000"/>
              </a:schemeClr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  <cdr:relSizeAnchor xmlns:cdr="http://schemas.openxmlformats.org/drawingml/2006/chartDrawing">
    <cdr:from>
      <cdr:x>0.04841</cdr:x>
      <cdr:y>0.03522</cdr:y>
    </cdr:from>
    <cdr:to>
      <cdr:x>0.94547</cdr:x>
      <cdr:y>0.26862</cdr:y>
    </cdr:to>
    <cdr:sp macro="" textlink="">
      <cdr:nvSpPr>
        <cdr:cNvPr id="5" name="文本框 11">
          <a:extLst xmlns:a="http://schemas.openxmlformats.org/drawingml/2006/main">
            <a:ext uri="{FF2B5EF4-FFF2-40B4-BE49-F238E27FC236}">
              <a16:creationId xmlns:a16="http://schemas.microsoft.com/office/drawing/2014/main" xmlns="" id="{69BB1E3D-4313-3065-CE09-C0BE5B9EFB0C}"/>
            </a:ext>
          </a:extLst>
        </cdr:cNvPr>
        <cdr:cNvSpPr txBox="1"/>
      </cdr:nvSpPr>
      <cdr:spPr>
        <a:xfrm xmlns:a="http://schemas.openxmlformats.org/drawingml/2006/main">
          <a:off x="250825" y="136525"/>
          <a:ext cx="4648206" cy="9048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20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2022</a:t>
          </a:r>
          <a:r>
            <a:rPr lang="zh-CN" altLang="en-US" sz="20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年上半年各部门人数</a:t>
          </a:r>
          <a:endParaRPr lang="en-US" altLang="zh-CN" sz="2000" b="1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 xmlns:a="http://schemas.openxmlformats.org/drawingml/2006/main">
          <a:pPr>
            <a:lnSpc>
              <a:spcPts val="2000"/>
            </a:lnSpc>
          </a:pPr>
          <a:r>
            <a:rPr lang="zh-CN" altLang="en-US" sz="14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公司总人数</a:t>
          </a:r>
          <a:r>
            <a:rPr lang="en-US" altLang="zh-CN" sz="14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1664</a:t>
          </a:r>
          <a:r>
            <a:rPr lang="zh-CN" altLang="en-US" sz="14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，销售部人数最多</a:t>
          </a:r>
          <a:r>
            <a:rPr lang="en-US" altLang="zh-CN" sz="14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451</a:t>
          </a:r>
          <a:r>
            <a:rPr lang="zh-CN" altLang="en-US" sz="14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，占比</a:t>
          </a:r>
          <a:r>
            <a:rPr lang="en-US" altLang="zh-CN" sz="14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27%</a:t>
          </a:r>
          <a:endParaRPr lang="zh-CN" altLang="en-US" sz="1200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18</xdr:col>
      <xdr:colOff>0</xdr:colOff>
      <xdr:row>23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xmlns="" id="{963C102C-4425-410B-9823-0BBB47A8AB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0.74821</cdr:x>
      <cdr:y>0.34235</cdr:y>
    </cdr:from>
    <cdr:to>
      <cdr:x>0.92927</cdr:x>
      <cdr:y>0.40499</cdr:y>
    </cdr:to>
    <cdr:grpSp>
      <cdr:nvGrpSpPr>
        <cdr:cNvPr id="2" name="组合 1">
          <a:extLst xmlns:a="http://schemas.openxmlformats.org/drawingml/2006/main">
            <a:ext uri="{FF2B5EF4-FFF2-40B4-BE49-F238E27FC236}">
              <a16:creationId xmlns:a16="http://schemas.microsoft.com/office/drawing/2014/main" xmlns="" id="{B11A4CE7-C268-4E6D-99BF-D1A7759DFB35}"/>
            </a:ext>
          </a:extLst>
        </cdr:cNvPr>
        <cdr:cNvGrpSpPr/>
      </cdr:nvGrpSpPr>
      <cdr:grpSpPr>
        <a:xfrm xmlns:a="http://schemas.openxmlformats.org/drawingml/2006/main">
          <a:off x="4104979" y="1353267"/>
          <a:ext cx="993368" cy="247608"/>
          <a:chOff x="2512355" y="238145"/>
          <a:chExt cx="978134" cy="242888"/>
        </a:xfrm>
      </cdr:grpSpPr>
      <cdr:cxnSp macro="">
        <cdr:nvCxnSpPr>
          <cdr:cNvPr id="18" name="直接连接符 17">
            <a:extLst xmlns:a="http://schemas.openxmlformats.org/drawingml/2006/main">
              <a:ext uri="{FF2B5EF4-FFF2-40B4-BE49-F238E27FC236}">
                <a16:creationId xmlns:a16="http://schemas.microsoft.com/office/drawing/2014/main" xmlns="" id="{CF53DC90-BB18-4FF6-AE5A-2E4A8EEBFEB3}"/>
              </a:ext>
            </a:extLst>
          </cdr:cNvPr>
          <cdr:cNvCxnSpPr/>
        </cdr:nvCxnSpPr>
        <cdr:spPr>
          <a:xfrm xmlns:a="http://schemas.openxmlformats.org/drawingml/2006/main">
            <a:off x="2715925" y="238145"/>
            <a:ext cx="774564" cy="0"/>
          </a:xfrm>
          <a:prstGeom xmlns:a="http://schemas.openxmlformats.org/drawingml/2006/main" prst="line">
            <a:avLst/>
          </a:prstGeom>
          <a:ln xmlns:a="http://schemas.openxmlformats.org/drawingml/2006/main">
            <a:solidFill>
              <a:srgbClr val="E74E69"/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19" name="直接连接符 18">
            <a:extLst xmlns:a="http://schemas.openxmlformats.org/drawingml/2006/main">
              <a:ext uri="{FF2B5EF4-FFF2-40B4-BE49-F238E27FC236}">
                <a16:creationId xmlns:a16="http://schemas.microsoft.com/office/drawing/2014/main" xmlns="" id="{6E6B24D1-DEA8-41D0-AD26-09E6FB531DDE}"/>
              </a:ext>
            </a:extLst>
          </cdr:cNvPr>
          <cdr:cNvCxnSpPr/>
        </cdr:nvCxnSpPr>
        <cdr:spPr>
          <a:xfrm xmlns:a="http://schemas.openxmlformats.org/drawingml/2006/main" flipV="1">
            <a:off x="2512355" y="242908"/>
            <a:ext cx="198606" cy="238125"/>
          </a:xfrm>
          <a:prstGeom xmlns:a="http://schemas.openxmlformats.org/drawingml/2006/main" prst="line">
            <a:avLst/>
          </a:prstGeom>
          <a:ln xmlns:a="http://schemas.openxmlformats.org/drawingml/2006/main" w="0">
            <a:solidFill>
              <a:srgbClr val="E74E69"/>
            </a:solidFill>
            <a:round/>
            <a:headEnd type="oval" w="sm" len="sm"/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</cdr:grpSp>
  </cdr:relSizeAnchor>
  <cdr:relSizeAnchor xmlns:cdr="http://schemas.openxmlformats.org/drawingml/2006/chartDrawing">
    <cdr:from>
      <cdr:x>0.16041</cdr:x>
      <cdr:y>0.7994</cdr:y>
    </cdr:from>
    <cdr:to>
      <cdr:x>0.34055</cdr:x>
      <cdr:y>0.86206</cdr:y>
    </cdr:to>
    <cdr:grpSp>
      <cdr:nvGrpSpPr>
        <cdr:cNvPr id="3" name="组合 2">
          <a:extLst xmlns:a="http://schemas.openxmlformats.org/drawingml/2006/main">
            <a:ext uri="{FF2B5EF4-FFF2-40B4-BE49-F238E27FC236}">
              <a16:creationId xmlns:a16="http://schemas.microsoft.com/office/drawing/2014/main" xmlns="" id="{B2D1A581-B3A0-460B-BD4C-F406965481F4}"/>
            </a:ext>
          </a:extLst>
        </cdr:cNvPr>
        <cdr:cNvGrpSpPr/>
      </cdr:nvGrpSpPr>
      <cdr:grpSpPr>
        <a:xfrm xmlns:a="http://schemas.openxmlformats.org/drawingml/2006/main" rot="10800000">
          <a:off x="880073" y="3159928"/>
          <a:ext cx="988321" cy="247687"/>
          <a:chOff x="48058" y="1912850"/>
          <a:chExt cx="973170" cy="242888"/>
        </a:xfrm>
      </cdr:grpSpPr>
      <cdr:cxnSp macro="">
        <cdr:nvCxnSpPr>
          <cdr:cNvPr id="16" name="直接连接符 15">
            <a:extLst xmlns:a="http://schemas.openxmlformats.org/drawingml/2006/main">
              <a:ext uri="{FF2B5EF4-FFF2-40B4-BE49-F238E27FC236}">
                <a16:creationId xmlns:a16="http://schemas.microsoft.com/office/drawing/2014/main" xmlns="" id="{2CDC1EF6-3D72-4A09-851F-317B88453903}"/>
              </a:ext>
            </a:extLst>
          </cdr:cNvPr>
          <cdr:cNvCxnSpPr/>
        </cdr:nvCxnSpPr>
        <cdr:spPr>
          <a:xfrm xmlns:a="http://schemas.openxmlformats.org/drawingml/2006/main">
            <a:off x="246664" y="1912850"/>
            <a:ext cx="774564" cy="0"/>
          </a:xfrm>
          <a:prstGeom xmlns:a="http://schemas.openxmlformats.org/drawingml/2006/main" prst="line">
            <a:avLst/>
          </a:prstGeom>
          <a:ln xmlns:a="http://schemas.openxmlformats.org/drawingml/2006/main">
            <a:solidFill>
              <a:srgbClr val="11A7AD"/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17" name="直接连接符 16">
            <a:extLst xmlns:a="http://schemas.openxmlformats.org/drawingml/2006/main">
              <a:ext uri="{FF2B5EF4-FFF2-40B4-BE49-F238E27FC236}">
                <a16:creationId xmlns:a16="http://schemas.microsoft.com/office/drawing/2014/main" xmlns="" id="{EBF30883-EDC4-467A-85F4-84B90FE9EAE2}"/>
              </a:ext>
            </a:extLst>
          </cdr:cNvPr>
          <cdr:cNvCxnSpPr/>
        </cdr:nvCxnSpPr>
        <cdr:spPr>
          <a:xfrm xmlns:a="http://schemas.openxmlformats.org/drawingml/2006/main" flipV="1">
            <a:off x="48058" y="1917613"/>
            <a:ext cx="198606" cy="238125"/>
          </a:xfrm>
          <a:prstGeom xmlns:a="http://schemas.openxmlformats.org/drawingml/2006/main" prst="line">
            <a:avLst/>
          </a:prstGeom>
          <a:ln xmlns:a="http://schemas.openxmlformats.org/drawingml/2006/main" w="0">
            <a:solidFill>
              <a:srgbClr val="11A7AD"/>
            </a:solidFill>
            <a:round/>
            <a:headEnd type="oval" w="sm" len="sm"/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</cdr:grpSp>
  </cdr:relSizeAnchor>
  <cdr:relSizeAnchor xmlns:cdr="http://schemas.openxmlformats.org/drawingml/2006/chartDrawing">
    <cdr:from>
      <cdr:x>0.13572</cdr:x>
      <cdr:y>0.57178</cdr:y>
    </cdr:from>
    <cdr:to>
      <cdr:x>0.31495</cdr:x>
      <cdr:y>0.6332</cdr:y>
    </cdr:to>
    <cdr:grpSp>
      <cdr:nvGrpSpPr>
        <cdr:cNvPr id="4" name="组合 3">
          <a:extLst xmlns:a="http://schemas.openxmlformats.org/drawingml/2006/main">
            <a:ext uri="{FF2B5EF4-FFF2-40B4-BE49-F238E27FC236}">
              <a16:creationId xmlns:a16="http://schemas.microsoft.com/office/drawing/2014/main" xmlns="" id="{74800097-8F2D-4236-B8C1-FBF8E49AB86B}"/>
            </a:ext>
          </a:extLst>
        </cdr:cNvPr>
        <cdr:cNvGrpSpPr/>
      </cdr:nvGrpSpPr>
      <cdr:grpSpPr>
        <a:xfrm xmlns:a="http://schemas.openxmlformats.org/drawingml/2006/main" rot="10800000">
          <a:off x="744614" y="2260175"/>
          <a:ext cx="983328" cy="242785"/>
          <a:chOff x="84407" y="1069199"/>
          <a:chExt cx="968206" cy="238125"/>
        </a:xfrm>
      </cdr:grpSpPr>
      <cdr:cxnSp macro="">
        <cdr:nvCxnSpPr>
          <cdr:cNvPr id="14" name="直接连接符 13">
            <a:extLst xmlns:a="http://schemas.openxmlformats.org/drawingml/2006/main">
              <a:ext uri="{FF2B5EF4-FFF2-40B4-BE49-F238E27FC236}">
                <a16:creationId xmlns:a16="http://schemas.microsoft.com/office/drawing/2014/main" xmlns="" id="{F51E97A8-D55B-4514-8AFB-AE2008B9BBF0}"/>
              </a:ext>
            </a:extLst>
          </cdr:cNvPr>
          <cdr:cNvCxnSpPr/>
        </cdr:nvCxnSpPr>
        <cdr:spPr>
          <a:xfrm xmlns:a="http://schemas.openxmlformats.org/drawingml/2006/main">
            <a:off x="278049" y="1073962"/>
            <a:ext cx="774564" cy="0"/>
          </a:xfrm>
          <a:prstGeom xmlns:a="http://schemas.openxmlformats.org/drawingml/2006/main" prst="line">
            <a:avLst/>
          </a:prstGeom>
          <a:ln xmlns:a="http://schemas.openxmlformats.org/drawingml/2006/main">
            <a:solidFill>
              <a:srgbClr val="0070C0"/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15" name="直接连接符 14">
            <a:extLst xmlns:a="http://schemas.openxmlformats.org/drawingml/2006/main">
              <a:ext uri="{FF2B5EF4-FFF2-40B4-BE49-F238E27FC236}">
                <a16:creationId xmlns:a16="http://schemas.microsoft.com/office/drawing/2014/main" xmlns="" id="{830782FA-B80B-4FD6-BA06-A88E2FA3DF14}"/>
              </a:ext>
            </a:extLst>
          </cdr:cNvPr>
          <cdr:cNvCxnSpPr/>
        </cdr:nvCxnSpPr>
        <cdr:spPr>
          <a:xfrm xmlns:a="http://schemas.openxmlformats.org/drawingml/2006/main" flipV="1">
            <a:off x="84407" y="1069199"/>
            <a:ext cx="198606" cy="238125"/>
          </a:xfrm>
          <a:prstGeom xmlns:a="http://schemas.openxmlformats.org/drawingml/2006/main" prst="line">
            <a:avLst/>
          </a:prstGeom>
          <a:ln xmlns:a="http://schemas.openxmlformats.org/drawingml/2006/main" w="0">
            <a:solidFill>
              <a:srgbClr val="0070C0"/>
            </a:solidFill>
            <a:round/>
            <a:headEnd type="oval" w="sm" len="sm"/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</cdr:grpSp>
  </cdr:relSizeAnchor>
  <cdr:relSizeAnchor xmlns:cdr="http://schemas.openxmlformats.org/drawingml/2006/chartDrawing">
    <cdr:from>
      <cdr:x>0.6896</cdr:x>
      <cdr:y>0.79022</cdr:y>
    </cdr:from>
    <cdr:to>
      <cdr:x>0.86055</cdr:x>
      <cdr:y>0.84919</cdr:y>
    </cdr:to>
    <cdr:grpSp>
      <cdr:nvGrpSpPr>
        <cdr:cNvPr id="5" name="组合 4">
          <a:extLst xmlns:a="http://schemas.openxmlformats.org/drawingml/2006/main">
            <a:ext uri="{FF2B5EF4-FFF2-40B4-BE49-F238E27FC236}">
              <a16:creationId xmlns:a16="http://schemas.microsoft.com/office/drawing/2014/main" xmlns="" id="{40C4BBE1-63EE-4665-8DA6-1DBDE5E17663}"/>
            </a:ext>
          </a:extLst>
        </cdr:cNvPr>
        <cdr:cNvGrpSpPr/>
      </cdr:nvGrpSpPr>
      <cdr:grpSpPr>
        <a:xfrm xmlns:a="http://schemas.openxmlformats.org/drawingml/2006/main">
          <a:off x="3783421" y="3123641"/>
          <a:ext cx="937901" cy="233101"/>
          <a:chOff x="2341336" y="2083906"/>
          <a:chExt cx="875072" cy="228601"/>
        </a:xfrm>
      </cdr:grpSpPr>
      <cdr:cxnSp macro="">
        <cdr:nvCxnSpPr>
          <cdr:cNvPr id="12" name="直接连接符 11">
            <a:extLst xmlns:a="http://schemas.openxmlformats.org/drawingml/2006/main">
              <a:ext uri="{FF2B5EF4-FFF2-40B4-BE49-F238E27FC236}">
                <a16:creationId xmlns:a16="http://schemas.microsoft.com/office/drawing/2014/main" xmlns="" id="{A4034AC2-A5B7-47D8-B308-A5B44AB5028A}"/>
              </a:ext>
            </a:extLst>
          </cdr:cNvPr>
          <cdr:cNvCxnSpPr/>
        </cdr:nvCxnSpPr>
        <cdr:spPr>
          <a:xfrm xmlns:a="http://schemas.openxmlformats.org/drawingml/2006/main">
            <a:off x="2482477" y="2312506"/>
            <a:ext cx="733931" cy="0"/>
          </a:xfrm>
          <a:prstGeom xmlns:a="http://schemas.openxmlformats.org/drawingml/2006/main" prst="line">
            <a:avLst/>
          </a:prstGeom>
          <a:ln xmlns:a="http://schemas.openxmlformats.org/drawingml/2006/main">
            <a:solidFill>
              <a:srgbClr val="FAB250"/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13" name="直接连接符 12">
            <a:extLst xmlns:a="http://schemas.openxmlformats.org/drawingml/2006/main">
              <a:ext uri="{FF2B5EF4-FFF2-40B4-BE49-F238E27FC236}">
                <a16:creationId xmlns:a16="http://schemas.microsoft.com/office/drawing/2014/main" xmlns="" id="{CEBA1C50-5897-4357-90BE-FDB0128B99CC}"/>
              </a:ext>
            </a:extLst>
          </cdr:cNvPr>
          <cdr:cNvCxnSpPr/>
        </cdr:nvCxnSpPr>
        <cdr:spPr>
          <a:xfrm xmlns:a="http://schemas.openxmlformats.org/drawingml/2006/main">
            <a:off x="2341336" y="2083906"/>
            <a:ext cx="141140" cy="228601"/>
          </a:xfrm>
          <a:prstGeom xmlns:a="http://schemas.openxmlformats.org/drawingml/2006/main" prst="line">
            <a:avLst/>
          </a:prstGeom>
          <a:ln xmlns:a="http://schemas.openxmlformats.org/drawingml/2006/main" w="0">
            <a:solidFill>
              <a:srgbClr val="FAB250"/>
            </a:solidFill>
            <a:round/>
            <a:headEnd type="oval" w="sm" len="sm"/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</cdr:grpSp>
  </cdr:relSizeAnchor>
  <cdr:relSizeAnchor xmlns:cdr="http://schemas.openxmlformats.org/drawingml/2006/chartDrawing">
    <cdr:from>
      <cdr:x>0.18956</cdr:x>
      <cdr:y>0.40488</cdr:y>
    </cdr:from>
    <cdr:to>
      <cdr:x>0.40739</cdr:x>
      <cdr:y>0.46385</cdr:y>
    </cdr:to>
    <cdr:grpSp>
      <cdr:nvGrpSpPr>
        <cdr:cNvPr id="6" name="组合 5">
          <a:extLst xmlns:a="http://schemas.openxmlformats.org/drawingml/2006/main">
            <a:ext uri="{FF2B5EF4-FFF2-40B4-BE49-F238E27FC236}">
              <a16:creationId xmlns:a16="http://schemas.microsoft.com/office/drawing/2014/main" xmlns="" id="{2CE2F69C-09CA-45B6-BAF5-6FCC37AF40BA}"/>
            </a:ext>
          </a:extLst>
        </cdr:cNvPr>
        <cdr:cNvGrpSpPr/>
      </cdr:nvGrpSpPr>
      <cdr:grpSpPr>
        <a:xfrm xmlns:a="http://schemas.openxmlformats.org/drawingml/2006/main" rot="10800000">
          <a:off x="1040002" y="1600440"/>
          <a:ext cx="1195102" cy="233101"/>
          <a:chOff x="453774" y="301151"/>
          <a:chExt cx="1210801" cy="228602"/>
        </a:xfrm>
      </cdr:grpSpPr>
      <cdr:cxnSp macro="">
        <cdr:nvCxnSpPr>
          <cdr:cNvPr id="10" name="直接连接符 9">
            <a:extLst xmlns:a="http://schemas.openxmlformats.org/drawingml/2006/main">
              <a:ext uri="{FF2B5EF4-FFF2-40B4-BE49-F238E27FC236}">
                <a16:creationId xmlns:a16="http://schemas.microsoft.com/office/drawing/2014/main" xmlns="" id="{7C108C92-306D-4DEF-8438-513441FA71D8}"/>
              </a:ext>
            </a:extLst>
          </cdr:cNvPr>
          <cdr:cNvCxnSpPr/>
        </cdr:nvCxnSpPr>
        <cdr:spPr>
          <a:xfrm xmlns:a="http://schemas.openxmlformats.org/drawingml/2006/main" rot="10800000" flipH="1">
            <a:off x="612148" y="529753"/>
            <a:ext cx="1052427" cy="0"/>
          </a:xfrm>
          <a:prstGeom xmlns:a="http://schemas.openxmlformats.org/drawingml/2006/main" prst="line">
            <a:avLst/>
          </a:prstGeom>
          <a:ln xmlns:a="http://schemas.openxmlformats.org/drawingml/2006/main">
            <a:solidFill>
              <a:srgbClr val="37A2DA"/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11" name="直接连接符 10">
            <a:extLst xmlns:a="http://schemas.openxmlformats.org/drawingml/2006/main">
              <a:ext uri="{FF2B5EF4-FFF2-40B4-BE49-F238E27FC236}">
                <a16:creationId xmlns:a16="http://schemas.microsoft.com/office/drawing/2014/main" xmlns="" id="{635308DE-9483-4A5F-919A-FB0A1406A5E4}"/>
              </a:ext>
            </a:extLst>
          </cdr:cNvPr>
          <cdr:cNvCxnSpPr/>
        </cdr:nvCxnSpPr>
        <cdr:spPr>
          <a:xfrm xmlns:a="http://schemas.openxmlformats.org/drawingml/2006/main">
            <a:off x="453774" y="301151"/>
            <a:ext cx="153266" cy="228601"/>
          </a:xfrm>
          <a:prstGeom xmlns:a="http://schemas.openxmlformats.org/drawingml/2006/main" prst="line">
            <a:avLst/>
          </a:prstGeom>
          <a:ln xmlns:a="http://schemas.openxmlformats.org/drawingml/2006/main" w="0">
            <a:solidFill>
              <a:srgbClr val="37A2DA"/>
            </a:solidFill>
            <a:round/>
            <a:headEnd type="oval" w="sm" len="sm"/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</cdr:grpSp>
  </cdr:relSizeAnchor>
  <cdr:relSizeAnchor xmlns:cdr="http://schemas.openxmlformats.org/drawingml/2006/chartDrawing">
    <cdr:from>
      <cdr:x>0.30418</cdr:x>
      <cdr:y>0.35416</cdr:y>
    </cdr:from>
    <cdr:to>
      <cdr:x>0.47514</cdr:x>
      <cdr:y>0.41313</cdr:y>
    </cdr:to>
    <cdr:grpSp>
      <cdr:nvGrpSpPr>
        <cdr:cNvPr id="7" name="组合 6">
          <a:extLst xmlns:a="http://schemas.openxmlformats.org/drawingml/2006/main">
            <a:ext uri="{FF2B5EF4-FFF2-40B4-BE49-F238E27FC236}">
              <a16:creationId xmlns:a16="http://schemas.microsoft.com/office/drawing/2014/main" xmlns="" id="{E5EAA5C8-D58B-467B-8B19-9A2F7C05E9EE}"/>
            </a:ext>
          </a:extLst>
        </cdr:cNvPr>
        <cdr:cNvGrpSpPr/>
      </cdr:nvGrpSpPr>
      <cdr:grpSpPr>
        <a:xfrm xmlns:a="http://schemas.openxmlformats.org/drawingml/2006/main" rot="10800000">
          <a:off x="1668853" y="1399950"/>
          <a:ext cx="937955" cy="233101"/>
          <a:chOff x="1438191" y="488449"/>
          <a:chExt cx="925637" cy="228601"/>
        </a:xfrm>
      </cdr:grpSpPr>
      <cdr:cxnSp macro="">
        <cdr:nvCxnSpPr>
          <cdr:cNvPr id="8" name="直接连接符 7">
            <a:extLst xmlns:a="http://schemas.openxmlformats.org/drawingml/2006/main">
              <a:ext uri="{FF2B5EF4-FFF2-40B4-BE49-F238E27FC236}">
                <a16:creationId xmlns:a16="http://schemas.microsoft.com/office/drawing/2014/main" xmlns="" id="{6C8040C5-79AE-45E3-AC05-CB25C97AC85B}"/>
              </a:ext>
            </a:extLst>
          </cdr:cNvPr>
          <cdr:cNvCxnSpPr/>
        </cdr:nvCxnSpPr>
        <cdr:spPr>
          <a:xfrm xmlns:a="http://schemas.openxmlformats.org/drawingml/2006/main">
            <a:off x="1587487" y="717049"/>
            <a:ext cx="776341" cy="0"/>
          </a:xfrm>
          <a:prstGeom xmlns:a="http://schemas.openxmlformats.org/drawingml/2006/main" prst="line">
            <a:avLst/>
          </a:prstGeom>
          <a:ln xmlns:a="http://schemas.openxmlformats.org/drawingml/2006/main">
            <a:solidFill>
              <a:srgbClr val="7030A0"/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9" name="直接连接符 8">
            <a:extLst xmlns:a="http://schemas.openxmlformats.org/drawingml/2006/main">
              <a:ext uri="{FF2B5EF4-FFF2-40B4-BE49-F238E27FC236}">
                <a16:creationId xmlns:a16="http://schemas.microsoft.com/office/drawing/2014/main" xmlns="" id="{4B6F899E-3AB3-4002-A50D-08824D4778B6}"/>
              </a:ext>
            </a:extLst>
          </cdr:cNvPr>
          <cdr:cNvCxnSpPr/>
        </cdr:nvCxnSpPr>
        <cdr:spPr>
          <a:xfrm xmlns:a="http://schemas.openxmlformats.org/drawingml/2006/main">
            <a:off x="1438191" y="488449"/>
            <a:ext cx="149296" cy="228601"/>
          </a:xfrm>
          <a:prstGeom xmlns:a="http://schemas.openxmlformats.org/drawingml/2006/main" prst="line">
            <a:avLst/>
          </a:prstGeom>
          <a:ln xmlns:a="http://schemas.openxmlformats.org/drawingml/2006/main" w="0">
            <a:solidFill>
              <a:srgbClr val="7030A0"/>
            </a:solidFill>
            <a:round/>
            <a:headEnd type="oval" w="sm" len="sm"/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</cdr:grpSp>
  </cdr:relSizeAnchor>
  <cdr:relSizeAnchor xmlns:cdr="http://schemas.openxmlformats.org/drawingml/2006/chartDrawing">
    <cdr:from>
      <cdr:x>0.04565</cdr:x>
      <cdr:y>0.01556</cdr:y>
    </cdr:from>
    <cdr:to>
      <cdr:x>0.94271</cdr:x>
      <cdr:y>0.24896</cdr:y>
    </cdr:to>
    <cdr:sp macro="" textlink="">
      <cdr:nvSpPr>
        <cdr:cNvPr id="20" name="文本框 11">
          <a:extLst xmlns:a="http://schemas.openxmlformats.org/drawingml/2006/main">
            <a:ext uri="{FF2B5EF4-FFF2-40B4-BE49-F238E27FC236}">
              <a16:creationId xmlns:a16="http://schemas.microsoft.com/office/drawing/2014/main" xmlns="" id="{B7281FB0-41D2-69C8-9C7C-E2DEDCC47F7D}"/>
            </a:ext>
          </a:extLst>
        </cdr:cNvPr>
        <cdr:cNvSpPr txBox="1"/>
      </cdr:nvSpPr>
      <cdr:spPr>
        <a:xfrm xmlns:a="http://schemas.openxmlformats.org/drawingml/2006/main">
          <a:off x="236537" y="60326"/>
          <a:ext cx="4648206" cy="90481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18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2021</a:t>
          </a:r>
          <a:r>
            <a:rPr lang="zh-CN" altLang="en-US" sz="18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年各部门人数分布</a:t>
          </a:r>
          <a:endParaRPr lang="en-US" altLang="zh-CN" sz="1800" b="1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 xmlns:a="http://schemas.openxmlformats.org/drawingml/2006/main">
          <a:pPr>
            <a:lnSpc>
              <a:spcPts val="2000"/>
            </a:lnSpc>
          </a:pPr>
          <a:r>
            <a:rPr lang="zh-CN" altLang="en-US" sz="12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公司总人数</a:t>
          </a:r>
          <a:r>
            <a:rPr lang="en-US" altLang="zh-CN" sz="12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1664</a:t>
          </a:r>
          <a:r>
            <a:rPr lang="zh-CN" altLang="en-US" sz="12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，销售部人数最多</a:t>
          </a:r>
          <a:r>
            <a:rPr lang="en-US" altLang="zh-CN" sz="12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451</a:t>
          </a:r>
          <a:r>
            <a:rPr lang="zh-CN" altLang="en-US" sz="12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，占比</a:t>
          </a:r>
          <a:r>
            <a:rPr lang="en-US" altLang="zh-CN" sz="12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29.2%</a:t>
          </a:r>
          <a:endParaRPr lang="zh-CN" altLang="en-US" sz="1100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  <cdr:relSizeAnchor xmlns:cdr="http://schemas.openxmlformats.org/drawingml/2006/chartDrawing">
    <cdr:from>
      <cdr:x>0.04657</cdr:x>
      <cdr:y>0.91482</cdr:y>
    </cdr:from>
    <cdr:to>
      <cdr:x>0.75644</cdr:x>
      <cdr:y>0.9828</cdr:y>
    </cdr:to>
    <cdr:sp macro="" textlink="">
      <cdr:nvSpPr>
        <cdr:cNvPr id="21" name="文本框 12">
          <a:extLst xmlns:a="http://schemas.openxmlformats.org/drawingml/2006/main">
            <a:ext uri="{FF2B5EF4-FFF2-40B4-BE49-F238E27FC236}">
              <a16:creationId xmlns:a16="http://schemas.microsoft.com/office/drawing/2014/main" xmlns="" id="{E83A639D-6D11-CA68-CFA1-619EB2C98470}"/>
            </a:ext>
          </a:extLst>
        </cdr:cNvPr>
        <cdr:cNvSpPr txBox="1"/>
      </cdr:nvSpPr>
      <cdr:spPr>
        <a:xfrm xmlns:a="http://schemas.openxmlformats.org/drawingml/2006/main">
          <a:off x="241300" y="3546475"/>
          <a:ext cx="3678262" cy="263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*</a:t>
          </a:r>
          <a:r>
            <a:rPr lang="zh-CN" altLang="en-US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注：数据来源于公司人力资源系统，统计日期截至</a:t>
          </a:r>
          <a:r>
            <a:rPr lang="en-US" altLang="zh-CN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2022.01.01</a:t>
          </a:r>
          <a:endParaRPr lang="zh-CN" altLang="en-US" sz="800">
            <a:solidFill>
              <a:schemeClr val="bg1">
                <a:lumMod val="85000"/>
              </a:schemeClr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152400</xdr:rowOff>
    </xdr:from>
    <xdr:to>
      <xdr:col>16</xdr:col>
      <xdr:colOff>19050</xdr:colOff>
      <xdr:row>23</xdr:row>
      <xdr:rowOff>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xmlns="" id="{2A606834-D7DA-41DA-BB0F-16404241BC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0.04579</cdr:x>
      <cdr:y>0.01221</cdr:y>
    </cdr:from>
    <cdr:to>
      <cdr:x>0.93956</cdr:x>
      <cdr:y>0.24419</cdr:y>
    </cdr:to>
    <cdr:sp macro="" textlink="">
      <cdr:nvSpPr>
        <cdr:cNvPr id="2" name="文本框 11">
          <a:extLst xmlns:a="http://schemas.openxmlformats.org/drawingml/2006/main">
            <a:ext uri="{FF2B5EF4-FFF2-40B4-BE49-F238E27FC236}">
              <a16:creationId xmlns:a16="http://schemas.microsoft.com/office/drawing/2014/main" xmlns="" id="{D87CF69D-2C6C-0EDA-E5CB-31C4EA731581}"/>
            </a:ext>
          </a:extLst>
        </cdr:cNvPr>
        <cdr:cNvSpPr txBox="1"/>
      </cdr:nvSpPr>
      <cdr:spPr>
        <a:xfrm xmlns:a="http://schemas.openxmlformats.org/drawingml/2006/main">
          <a:off x="238141" y="47625"/>
          <a:ext cx="4648184" cy="9048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1800" b="1">
              <a:solidFill>
                <a:schemeClr val="bg1">
                  <a:lumMod val="9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2022</a:t>
          </a:r>
          <a:r>
            <a:rPr lang="zh-CN" altLang="en-US" sz="1800" b="1">
              <a:solidFill>
                <a:schemeClr val="bg1">
                  <a:lumMod val="9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年上半各年龄段人数分布</a:t>
          </a:r>
          <a:endParaRPr lang="en-US" altLang="zh-CN" sz="1800" b="1">
            <a:solidFill>
              <a:schemeClr val="bg1">
                <a:lumMod val="95000"/>
              </a:schemeClr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 xmlns:a="http://schemas.openxmlformats.org/drawingml/2006/main">
          <a:pPr>
            <a:lnSpc>
              <a:spcPts val="2000"/>
            </a:lnSpc>
          </a:pPr>
          <a:r>
            <a:rPr lang="zh-CN" altLang="en-US" sz="1200">
              <a:solidFill>
                <a:schemeClr val="bg1">
                  <a:lumMod val="9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公司平均年龄</a:t>
          </a:r>
          <a:r>
            <a:rPr lang="en-US" altLang="zh-CN" sz="1200">
              <a:solidFill>
                <a:schemeClr val="bg1">
                  <a:lumMod val="9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32.5</a:t>
          </a:r>
          <a:r>
            <a:rPr lang="zh-CN" altLang="en-US" sz="1200">
              <a:solidFill>
                <a:schemeClr val="bg1">
                  <a:lumMod val="9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，</a:t>
          </a:r>
          <a:r>
            <a:rPr lang="en-US" altLang="zh-CN" sz="1200">
              <a:solidFill>
                <a:schemeClr val="bg1">
                  <a:lumMod val="9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20-30</a:t>
          </a:r>
          <a:r>
            <a:rPr lang="zh-CN" altLang="en-US" sz="1200">
              <a:solidFill>
                <a:schemeClr val="bg1">
                  <a:lumMod val="9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员工比例最高占比</a:t>
          </a:r>
          <a:r>
            <a:rPr lang="en-US" altLang="zh-CN" sz="1200">
              <a:solidFill>
                <a:schemeClr val="bg1">
                  <a:lumMod val="9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37.5%</a:t>
          </a:r>
          <a:endParaRPr lang="zh-CN" altLang="en-US" sz="1100">
            <a:solidFill>
              <a:schemeClr val="bg1">
                <a:lumMod val="95000"/>
              </a:schemeClr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  <cdr:relSizeAnchor xmlns:cdr="http://schemas.openxmlformats.org/drawingml/2006/chartDrawing">
    <cdr:from>
      <cdr:x>0.04456</cdr:x>
      <cdr:y>0.91656</cdr:y>
    </cdr:from>
    <cdr:to>
      <cdr:x>0.75183</cdr:x>
      <cdr:y>0.98413</cdr:y>
    </cdr:to>
    <cdr:sp macro="" textlink="">
      <cdr:nvSpPr>
        <cdr:cNvPr id="3" name="文本框 12">
          <a:extLst xmlns:a="http://schemas.openxmlformats.org/drawingml/2006/main">
            <a:ext uri="{FF2B5EF4-FFF2-40B4-BE49-F238E27FC236}">
              <a16:creationId xmlns:a16="http://schemas.microsoft.com/office/drawing/2014/main" xmlns="" id="{C95A26C0-136A-8A42-E992-52972AE9DF91}"/>
            </a:ext>
          </a:extLst>
        </cdr:cNvPr>
        <cdr:cNvSpPr txBox="1"/>
      </cdr:nvSpPr>
      <cdr:spPr>
        <a:xfrm xmlns:a="http://schemas.openxmlformats.org/drawingml/2006/main">
          <a:off x="231757" y="3575031"/>
          <a:ext cx="3678263" cy="26355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800">
              <a:solidFill>
                <a:schemeClr val="bg1">
                  <a:lumMod val="9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*</a:t>
          </a:r>
          <a:r>
            <a:rPr lang="zh-CN" altLang="en-US" sz="800">
              <a:solidFill>
                <a:schemeClr val="bg1">
                  <a:lumMod val="9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注：数据来源于公司人力资源系统，统计日期截至</a:t>
          </a:r>
          <a:r>
            <a:rPr lang="en-US" altLang="zh-CN" sz="800">
              <a:solidFill>
                <a:schemeClr val="bg1">
                  <a:lumMod val="9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2022.06.30</a:t>
          </a:r>
          <a:endParaRPr lang="zh-CN" altLang="en-US" sz="800">
            <a:solidFill>
              <a:schemeClr val="bg1">
                <a:lumMod val="95000"/>
              </a:schemeClr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  <cdr:relSizeAnchor xmlns:cdr="http://schemas.openxmlformats.org/drawingml/2006/chartDrawing">
    <cdr:from>
      <cdr:x>0.09341</cdr:x>
      <cdr:y>0.54579</cdr:y>
    </cdr:from>
    <cdr:to>
      <cdr:x>0.29488</cdr:x>
      <cdr:y>0.60928</cdr:y>
    </cdr:to>
    <cdr:grpSp>
      <cdr:nvGrpSpPr>
        <cdr:cNvPr id="4" name="组合 3">
          <a:extLst xmlns:a="http://schemas.openxmlformats.org/drawingml/2006/main">
            <a:ext uri="{FF2B5EF4-FFF2-40B4-BE49-F238E27FC236}">
              <a16:creationId xmlns:a16="http://schemas.microsoft.com/office/drawing/2014/main" xmlns="" id="{5E00CA7F-077A-3BF0-F708-49C24C4F202D}"/>
            </a:ext>
          </a:extLst>
        </cdr:cNvPr>
        <cdr:cNvGrpSpPr/>
      </cdr:nvGrpSpPr>
      <cdr:grpSpPr>
        <a:xfrm xmlns:a="http://schemas.openxmlformats.org/drawingml/2006/main" rot="10800000">
          <a:off x="514264" y="2136645"/>
          <a:ext cx="1109183" cy="248549"/>
          <a:chOff x="-328750" y="-345910"/>
          <a:chExt cx="1363459" cy="214138"/>
        </a:xfrm>
      </cdr:grpSpPr>
      <cdr:cxnSp macro="">
        <cdr:nvCxnSpPr>
          <cdr:cNvPr id="5" name="直接连接符 4">
            <a:extLst xmlns:a="http://schemas.openxmlformats.org/drawingml/2006/main">
              <a:ext uri="{FF2B5EF4-FFF2-40B4-BE49-F238E27FC236}">
                <a16:creationId xmlns:a16="http://schemas.microsoft.com/office/drawing/2014/main" xmlns="" id="{47C6DC1A-111F-737E-182E-D35450B61316}"/>
              </a:ext>
            </a:extLst>
          </cdr:cNvPr>
          <cdr:cNvCxnSpPr/>
        </cdr:nvCxnSpPr>
        <cdr:spPr>
          <a:xfrm xmlns:a="http://schemas.openxmlformats.org/drawingml/2006/main" rot="10800000" flipH="1">
            <a:off x="-94262" y="-341792"/>
            <a:ext cx="1128971" cy="0"/>
          </a:xfrm>
          <a:prstGeom xmlns:a="http://schemas.openxmlformats.org/drawingml/2006/main" prst="line">
            <a:avLst/>
          </a:prstGeom>
          <a:ln xmlns:a="http://schemas.openxmlformats.org/drawingml/2006/main">
            <a:solidFill>
              <a:srgbClr val="66CBDD"/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6" name="直接连接符 5">
            <a:extLst xmlns:a="http://schemas.openxmlformats.org/drawingml/2006/main">
              <a:ext uri="{FF2B5EF4-FFF2-40B4-BE49-F238E27FC236}">
                <a16:creationId xmlns:a16="http://schemas.microsoft.com/office/drawing/2014/main" xmlns="" id="{5960C8B5-EB37-1443-BC9A-FD937BFFA8A1}"/>
              </a:ext>
            </a:extLst>
          </cdr:cNvPr>
          <cdr:cNvCxnSpPr/>
        </cdr:nvCxnSpPr>
        <cdr:spPr>
          <a:xfrm xmlns:a="http://schemas.openxmlformats.org/drawingml/2006/main" rot="10800000" flipH="1">
            <a:off x="-328750" y="-345910"/>
            <a:ext cx="235507" cy="214138"/>
          </a:xfrm>
          <a:prstGeom xmlns:a="http://schemas.openxmlformats.org/drawingml/2006/main" prst="line">
            <a:avLst/>
          </a:prstGeom>
          <a:ln xmlns:a="http://schemas.openxmlformats.org/drawingml/2006/main" w="0">
            <a:solidFill>
              <a:srgbClr val="66CBDD"/>
            </a:solidFill>
            <a:round/>
            <a:headEnd type="oval" w="sm" len="sm"/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</cdr:grpSp>
  </cdr:relSizeAnchor>
  <cdr:relSizeAnchor xmlns:cdr="http://schemas.openxmlformats.org/drawingml/2006/chartDrawing">
    <cdr:from>
      <cdr:x>0.73321</cdr:x>
      <cdr:y>0.35368</cdr:y>
    </cdr:from>
    <cdr:to>
      <cdr:x>0.92129</cdr:x>
      <cdr:y>0.41595</cdr:y>
    </cdr:to>
    <cdr:grpSp>
      <cdr:nvGrpSpPr>
        <cdr:cNvPr id="7" name="组合 6">
          <a:extLst xmlns:a="http://schemas.openxmlformats.org/drawingml/2006/main">
            <a:ext uri="{FF2B5EF4-FFF2-40B4-BE49-F238E27FC236}">
              <a16:creationId xmlns:a16="http://schemas.microsoft.com/office/drawing/2014/main" xmlns="" id="{D7F3E7FE-0CBF-56A0-D53B-A5283AA09882}"/>
            </a:ext>
          </a:extLst>
        </cdr:cNvPr>
        <cdr:cNvGrpSpPr/>
      </cdr:nvGrpSpPr>
      <cdr:grpSpPr>
        <a:xfrm xmlns:a="http://schemas.openxmlformats.org/drawingml/2006/main">
          <a:off x="4036651" y="1384578"/>
          <a:ext cx="1035465" cy="243773"/>
          <a:chOff x="0" y="0"/>
          <a:chExt cx="1019789" cy="242888"/>
        </a:xfrm>
      </cdr:grpSpPr>
      <cdr:cxnSp macro="">
        <cdr:nvCxnSpPr>
          <cdr:cNvPr id="8" name="直接连接符 7">
            <a:extLst xmlns:a="http://schemas.openxmlformats.org/drawingml/2006/main">
              <a:ext uri="{FF2B5EF4-FFF2-40B4-BE49-F238E27FC236}">
                <a16:creationId xmlns:a16="http://schemas.microsoft.com/office/drawing/2014/main" xmlns="" id="{5E562344-397A-7068-79B3-AC840DAC96A3}"/>
              </a:ext>
            </a:extLst>
          </cdr:cNvPr>
          <cdr:cNvCxnSpPr/>
        </cdr:nvCxnSpPr>
        <cdr:spPr>
          <a:xfrm xmlns:a="http://schemas.openxmlformats.org/drawingml/2006/main">
            <a:off x="212239" y="0"/>
            <a:ext cx="807550" cy="0"/>
          </a:xfrm>
          <a:prstGeom xmlns:a="http://schemas.openxmlformats.org/drawingml/2006/main" prst="line">
            <a:avLst/>
          </a:prstGeom>
          <a:ln xmlns:a="http://schemas.openxmlformats.org/drawingml/2006/main">
            <a:solidFill>
              <a:srgbClr val="512DCB"/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9" name="直接连接符 8">
            <a:extLst xmlns:a="http://schemas.openxmlformats.org/drawingml/2006/main">
              <a:ext uri="{FF2B5EF4-FFF2-40B4-BE49-F238E27FC236}">
                <a16:creationId xmlns:a16="http://schemas.microsoft.com/office/drawing/2014/main" xmlns="" id="{C735F2D0-3CB6-2C92-8AB8-1F4E38412DD7}"/>
              </a:ext>
            </a:extLst>
          </cdr:cNvPr>
          <cdr:cNvCxnSpPr/>
        </cdr:nvCxnSpPr>
        <cdr:spPr>
          <a:xfrm xmlns:a="http://schemas.openxmlformats.org/drawingml/2006/main" flipV="1">
            <a:off x="0" y="4763"/>
            <a:ext cx="207064" cy="238125"/>
          </a:xfrm>
          <a:prstGeom xmlns:a="http://schemas.openxmlformats.org/drawingml/2006/main" prst="line">
            <a:avLst/>
          </a:prstGeom>
          <a:ln xmlns:a="http://schemas.openxmlformats.org/drawingml/2006/main" w="0">
            <a:solidFill>
              <a:srgbClr val="512DCB"/>
            </a:solidFill>
            <a:round/>
            <a:headEnd type="oval" w="sm" len="sm"/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</cdr:grpSp>
  </cdr:relSizeAnchor>
  <cdr:relSizeAnchor xmlns:cdr="http://schemas.openxmlformats.org/drawingml/2006/chartDrawing">
    <cdr:from>
      <cdr:x>0.63706</cdr:x>
      <cdr:y>0.85307</cdr:y>
    </cdr:from>
    <cdr:to>
      <cdr:x>0.8315</cdr:x>
      <cdr:y>0.91697</cdr:y>
    </cdr:to>
    <cdr:grpSp>
      <cdr:nvGrpSpPr>
        <cdr:cNvPr id="10" name="组合 9">
          <a:extLst xmlns:a="http://schemas.openxmlformats.org/drawingml/2006/main">
            <a:ext uri="{FF2B5EF4-FFF2-40B4-BE49-F238E27FC236}">
              <a16:creationId xmlns:a16="http://schemas.microsoft.com/office/drawing/2014/main" xmlns="" id="{38BA58C2-47B6-ED53-14EB-0831BAA5B220}"/>
            </a:ext>
          </a:extLst>
        </cdr:cNvPr>
        <cdr:cNvGrpSpPr/>
      </cdr:nvGrpSpPr>
      <cdr:grpSpPr>
        <a:xfrm xmlns:a="http://schemas.openxmlformats.org/drawingml/2006/main">
          <a:off x="3507302" y="3339577"/>
          <a:ext cx="1070480" cy="250154"/>
          <a:chOff x="0" y="0"/>
          <a:chExt cx="864480" cy="228601"/>
        </a:xfrm>
      </cdr:grpSpPr>
      <cdr:cxnSp macro="">
        <cdr:nvCxnSpPr>
          <cdr:cNvPr id="11" name="直接连接符 10">
            <a:extLst xmlns:a="http://schemas.openxmlformats.org/drawingml/2006/main">
              <a:ext uri="{FF2B5EF4-FFF2-40B4-BE49-F238E27FC236}">
                <a16:creationId xmlns:a16="http://schemas.microsoft.com/office/drawing/2014/main" xmlns="" id="{88CB99A6-B3CA-1814-C265-44A9A7807B89}"/>
              </a:ext>
            </a:extLst>
          </cdr:cNvPr>
          <cdr:cNvCxnSpPr/>
        </cdr:nvCxnSpPr>
        <cdr:spPr>
          <a:xfrm xmlns:a="http://schemas.openxmlformats.org/drawingml/2006/main">
            <a:off x="139433" y="228600"/>
            <a:ext cx="725047" cy="0"/>
          </a:xfrm>
          <a:prstGeom xmlns:a="http://schemas.openxmlformats.org/drawingml/2006/main" prst="line">
            <a:avLst/>
          </a:prstGeom>
          <a:ln xmlns:a="http://schemas.openxmlformats.org/drawingml/2006/main">
            <a:solidFill>
              <a:srgbClr val="6073F3"/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12" name="直接连接符 11">
            <a:extLst xmlns:a="http://schemas.openxmlformats.org/drawingml/2006/main">
              <a:ext uri="{FF2B5EF4-FFF2-40B4-BE49-F238E27FC236}">
                <a16:creationId xmlns:a16="http://schemas.microsoft.com/office/drawing/2014/main" xmlns="" id="{CF8D8060-299E-CCCF-3421-A9BE5BEF11EC}"/>
              </a:ext>
            </a:extLst>
          </cdr:cNvPr>
          <cdr:cNvCxnSpPr/>
        </cdr:nvCxnSpPr>
        <cdr:spPr>
          <a:xfrm xmlns:a="http://schemas.openxmlformats.org/drawingml/2006/main">
            <a:off x="0" y="0"/>
            <a:ext cx="139432" cy="228601"/>
          </a:xfrm>
          <a:prstGeom xmlns:a="http://schemas.openxmlformats.org/drawingml/2006/main" prst="line">
            <a:avLst/>
          </a:prstGeom>
          <a:ln xmlns:a="http://schemas.openxmlformats.org/drawingml/2006/main" w="0">
            <a:solidFill>
              <a:srgbClr val="6073F3"/>
            </a:solidFill>
            <a:round/>
            <a:headEnd type="oval" w="sm" len="sm"/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</cdr:grpSp>
  </cdr:relSizeAnchor>
  <cdr:relSizeAnchor xmlns:cdr="http://schemas.openxmlformats.org/drawingml/2006/chartDrawing">
    <cdr:from>
      <cdr:x>0.19597</cdr:x>
      <cdr:y>0.30362</cdr:y>
    </cdr:from>
    <cdr:to>
      <cdr:x>0.38371</cdr:x>
      <cdr:y>0.36223</cdr:y>
    </cdr:to>
    <cdr:grpSp>
      <cdr:nvGrpSpPr>
        <cdr:cNvPr id="13" name="组合 12">
          <a:extLst xmlns:a="http://schemas.openxmlformats.org/drawingml/2006/main">
            <a:ext uri="{FF2B5EF4-FFF2-40B4-BE49-F238E27FC236}">
              <a16:creationId xmlns:a16="http://schemas.microsoft.com/office/drawing/2014/main" xmlns="" id="{9075977B-294E-7764-601E-8FCB2CA9D02A}"/>
            </a:ext>
          </a:extLst>
        </cdr:cNvPr>
        <cdr:cNvGrpSpPr/>
      </cdr:nvGrpSpPr>
      <cdr:grpSpPr>
        <a:xfrm xmlns:a="http://schemas.openxmlformats.org/drawingml/2006/main" rot="10800000">
          <a:off x="1078903" y="1188604"/>
          <a:ext cx="1033593" cy="229445"/>
          <a:chOff x="-190815" y="-219068"/>
          <a:chExt cx="1020241" cy="228601"/>
        </a:xfrm>
      </cdr:grpSpPr>
      <cdr:cxnSp macro="">
        <cdr:nvCxnSpPr>
          <cdr:cNvPr id="14" name="直接连接符 13">
            <a:extLst xmlns:a="http://schemas.openxmlformats.org/drawingml/2006/main">
              <a:ext uri="{FF2B5EF4-FFF2-40B4-BE49-F238E27FC236}">
                <a16:creationId xmlns:a16="http://schemas.microsoft.com/office/drawing/2014/main" xmlns="" id="{183B680B-7273-7D1F-3F28-F7E0526FB07A}"/>
              </a:ext>
            </a:extLst>
          </cdr:cNvPr>
          <cdr:cNvCxnSpPr/>
        </cdr:nvCxnSpPr>
        <cdr:spPr>
          <a:xfrm xmlns:a="http://schemas.openxmlformats.org/drawingml/2006/main" rot="10800000" flipH="1" flipV="1">
            <a:off x="-41579" y="8"/>
            <a:ext cx="871005" cy="7937"/>
          </a:xfrm>
          <a:prstGeom xmlns:a="http://schemas.openxmlformats.org/drawingml/2006/main" prst="line">
            <a:avLst/>
          </a:prstGeom>
          <a:ln xmlns:a="http://schemas.openxmlformats.org/drawingml/2006/main">
            <a:solidFill>
              <a:srgbClr val="F5C353"/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15" name="直接连接符 14">
            <a:extLst xmlns:a="http://schemas.openxmlformats.org/drawingml/2006/main">
              <a:ext uri="{FF2B5EF4-FFF2-40B4-BE49-F238E27FC236}">
                <a16:creationId xmlns:a16="http://schemas.microsoft.com/office/drawing/2014/main" xmlns="" id="{39C25994-EE87-17CF-718E-1DE2C66A767D}"/>
              </a:ext>
            </a:extLst>
          </cdr:cNvPr>
          <cdr:cNvCxnSpPr/>
        </cdr:nvCxnSpPr>
        <cdr:spPr>
          <a:xfrm xmlns:a="http://schemas.openxmlformats.org/drawingml/2006/main">
            <a:off x="-190815" y="-219068"/>
            <a:ext cx="156002" cy="228601"/>
          </a:xfrm>
          <a:prstGeom xmlns:a="http://schemas.openxmlformats.org/drawingml/2006/main" prst="line">
            <a:avLst/>
          </a:prstGeom>
          <a:ln xmlns:a="http://schemas.openxmlformats.org/drawingml/2006/main" w="0">
            <a:solidFill>
              <a:srgbClr val="F5C353"/>
            </a:solidFill>
            <a:round/>
            <a:headEnd type="oval" w="sm" len="sm"/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</cdr:grp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595313</xdr:colOff>
      <xdr:row>7</xdr:row>
      <xdr:rowOff>66675</xdr:rowOff>
    </xdr:from>
    <xdr:to>
      <xdr:col>21</xdr:col>
      <xdr:colOff>14288</xdr:colOff>
      <xdr:row>7</xdr:row>
      <xdr:rowOff>128588</xdr:rowOff>
    </xdr:to>
    <xdr:sp macro="" textlink="">
      <xdr:nvSpPr>
        <xdr:cNvPr id="3" name="Rectangle 19">
          <a:extLst>
            <a:ext uri="{FF2B5EF4-FFF2-40B4-BE49-F238E27FC236}">
              <a16:creationId xmlns:a16="http://schemas.microsoft.com/office/drawing/2014/main" xmlns="" id="{B2094700-5DA2-4F73-9CC7-5AFBA78D4F8A}"/>
            </a:ext>
          </a:extLst>
        </xdr:cNvPr>
        <xdr:cNvSpPr>
          <a:spLocks noChangeArrowheads="1"/>
        </xdr:cNvSpPr>
      </xdr:nvSpPr>
      <xdr:spPr bwMode="auto">
        <a:xfrm>
          <a:off x="14197013" y="4471988"/>
          <a:ext cx="66675" cy="61913"/>
        </a:xfrm>
        <a:prstGeom prst="rect">
          <a:avLst/>
        </a:prstGeom>
        <a:noFill/>
        <a:ln w="19050" cap="flat">
          <a:solidFill>
            <a:srgbClr val="FFFFFF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1</xdr:row>
      <xdr:rowOff>0</xdr:rowOff>
    </xdr:from>
    <xdr:to>
      <xdr:col>12</xdr:col>
      <xdr:colOff>0</xdr:colOff>
      <xdr:row>23</xdr:row>
      <xdr:rowOff>0</xdr:rowOff>
    </xdr:to>
    <xdr:grpSp>
      <xdr:nvGrpSpPr>
        <xdr:cNvPr id="7" name="组合 6">
          <a:extLst>
            <a:ext uri="{FF2B5EF4-FFF2-40B4-BE49-F238E27FC236}">
              <a16:creationId xmlns:a16="http://schemas.microsoft.com/office/drawing/2014/main" xmlns="" id="{9009D923-46CB-4EDF-8D43-9C874D5117F4}"/>
            </a:ext>
          </a:extLst>
        </xdr:cNvPr>
        <xdr:cNvGrpSpPr/>
      </xdr:nvGrpSpPr>
      <xdr:grpSpPr>
        <a:xfrm>
          <a:off x="2590800" y="176213"/>
          <a:ext cx="5181600" cy="3876675"/>
          <a:chOff x="2590800" y="3348038"/>
          <a:chExt cx="5181600" cy="3876675"/>
        </a:xfrm>
      </xdr:grpSpPr>
      <xdr:graphicFrame macro="">
        <xdr:nvGraphicFramePr>
          <xdr:cNvPr id="8" name="图表 7">
            <a:extLst>
              <a:ext uri="{FF2B5EF4-FFF2-40B4-BE49-F238E27FC236}">
                <a16:creationId xmlns:a16="http://schemas.microsoft.com/office/drawing/2014/main" xmlns="" id="{DC1E6963-C90E-2FA2-6FE4-F26E95402352}"/>
              </a:ext>
            </a:extLst>
          </xdr:cNvPr>
          <xdr:cNvGraphicFramePr>
            <a:graphicFrameLocks/>
          </xdr:cNvGraphicFramePr>
        </xdr:nvGraphicFramePr>
        <xdr:xfrm>
          <a:off x="2590800" y="3348038"/>
          <a:ext cx="5181600" cy="38766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9" name="组合 8">
            <a:extLst>
              <a:ext uri="{FF2B5EF4-FFF2-40B4-BE49-F238E27FC236}">
                <a16:creationId xmlns:a16="http://schemas.microsoft.com/office/drawing/2014/main" xmlns="" id="{370693A6-E0A7-2EF7-630E-724BADC2E083}"/>
              </a:ext>
            </a:extLst>
          </xdr:cNvPr>
          <xdr:cNvGrpSpPr/>
        </xdr:nvGrpSpPr>
        <xdr:grpSpPr>
          <a:xfrm>
            <a:off x="4256728" y="4229100"/>
            <a:ext cx="2325907" cy="2614613"/>
            <a:chOff x="2590800" y="200025"/>
            <a:chExt cx="1847849" cy="2147506"/>
          </a:xfrm>
        </xdr:grpSpPr>
        <xdr:sp macro="" textlink="">
          <xdr:nvSpPr>
            <xdr:cNvPr id="10" name="Freeform 69">
              <a:extLst>
                <a:ext uri="{FF2B5EF4-FFF2-40B4-BE49-F238E27FC236}">
                  <a16:creationId xmlns:a16="http://schemas.microsoft.com/office/drawing/2014/main" xmlns="" id="{FFC9382A-E571-C7DE-24FB-B7E0E301FD61}"/>
                </a:ext>
              </a:extLst>
            </xdr:cNvPr>
            <xdr:cNvSpPr>
              <a:spLocks/>
            </xdr:cNvSpPr>
          </xdr:nvSpPr>
          <xdr:spPr bwMode="auto">
            <a:xfrm>
              <a:off x="3267074" y="200025"/>
              <a:ext cx="1171575" cy="1509713"/>
            </a:xfrm>
            <a:custGeom>
              <a:avLst/>
              <a:gdLst>
                <a:gd name="T0" fmla="*/ 0 w 12309"/>
                <a:gd name="T1" fmla="*/ 0 h 15894"/>
                <a:gd name="T2" fmla="*/ 12309 w 12309"/>
                <a:gd name="T3" fmla="*/ 12308 h 15894"/>
                <a:gd name="T4" fmla="*/ 11775 w 12309"/>
                <a:gd name="T5" fmla="*/ 15894 h 15894"/>
                <a:gd name="T6" fmla="*/ 0 w 12309"/>
                <a:gd name="T7" fmla="*/ 12308 h 15894"/>
                <a:gd name="T8" fmla="*/ 0 w 12309"/>
                <a:gd name="T9" fmla="*/ 0 h 1589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12309" h="15894">
                  <a:moveTo>
                    <a:pt x="0" y="0"/>
                  </a:moveTo>
                  <a:cubicBezTo>
                    <a:pt x="6798" y="0"/>
                    <a:pt x="12309" y="5511"/>
                    <a:pt x="12309" y="12308"/>
                  </a:cubicBezTo>
                  <a:cubicBezTo>
                    <a:pt x="12309" y="13524"/>
                    <a:pt x="12129" y="14732"/>
                    <a:pt x="11775" y="15894"/>
                  </a:cubicBezTo>
                  <a:lnTo>
                    <a:pt x="0" y="12308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E74E69"/>
            </a:solidFill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11" name="Freeform 70">
              <a:extLst>
                <a:ext uri="{FF2B5EF4-FFF2-40B4-BE49-F238E27FC236}">
                  <a16:creationId xmlns:a16="http://schemas.microsoft.com/office/drawing/2014/main" xmlns="" id="{4AE7C3BE-3185-9DBA-8D3D-57A9729C7015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3109913" y="1366837"/>
              <a:ext cx="1036416" cy="980694"/>
            </a:xfrm>
            <a:custGeom>
              <a:avLst/>
              <a:gdLst>
                <a:gd name="T0" fmla="*/ 13927 w 13927"/>
                <a:gd name="T1" fmla="*/ 3586 h 13208"/>
                <a:gd name="T2" fmla="*/ 0 w 13927"/>
                <a:gd name="T3" fmla="*/ 12119 h 13208"/>
                <a:gd name="T4" fmla="*/ 2152 w 13927"/>
                <a:gd name="T5" fmla="*/ 0 h 13208"/>
                <a:gd name="T6" fmla="*/ 13927 w 13927"/>
                <a:gd name="T7" fmla="*/ 3586 h 1320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3927" h="13208">
                  <a:moveTo>
                    <a:pt x="13927" y="3586"/>
                  </a:moveTo>
                  <a:cubicBezTo>
                    <a:pt x="12112" y="9545"/>
                    <a:pt x="6133" y="13208"/>
                    <a:pt x="0" y="12119"/>
                  </a:cubicBezTo>
                  <a:lnTo>
                    <a:pt x="2152" y="0"/>
                  </a:lnTo>
                  <a:lnTo>
                    <a:pt x="13927" y="3586"/>
                  </a:lnTo>
                  <a:close/>
                </a:path>
              </a:pathLst>
            </a:custGeom>
            <a:solidFill>
              <a:srgbClr val="F5C353"/>
            </a:solidFill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12" name="Freeform 71">
              <a:extLst>
                <a:ext uri="{FF2B5EF4-FFF2-40B4-BE49-F238E27FC236}">
                  <a16:creationId xmlns:a16="http://schemas.microsoft.com/office/drawing/2014/main" xmlns="" id="{7DE6220D-5109-76A7-8F56-6EC03E5372CC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2590800" y="1362075"/>
              <a:ext cx="677228" cy="691515"/>
            </a:xfrm>
            <a:custGeom>
              <a:avLst/>
              <a:gdLst>
                <a:gd name="T0" fmla="*/ 9689 w 11841"/>
                <a:gd name="T1" fmla="*/ 12119 h 12119"/>
                <a:gd name="T2" fmla="*/ 0 w 11841"/>
                <a:gd name="T3" fmla="*/ 3360 h 12119"/>
                <a:gd name="T4" fmla="*/ 11841 w 11841"/>
                <a:gd name="T5" fmla="*/ 0 h 12119"/>
                <a:gd name="T6" fmla="*/ 9689 w 11841"/>
                <a:gd name="T7" fmla="*/ 12119 h 1211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1841" h="12119">
                  <a:moveTo>
                    <a:pt x="9689" y="12119"/>
                  </a:moveTo>
                  <a:cubicBezTo>
                    <a:pt x="5049" y="11295"/>
                    <a:pt x="1287" y="7894"/>
                    <a:pt x="0" y="3360"/>
                  </a:cubicBezTo>
                  <a:lnTo>
                    <a:pt x="11841" y="0"/>
                  </a:lnTo>
                  <a:lnTo>
                    <a:pt x="9689" y="12119"/>
                  </a:lnTo>
                  <a:close/>
                </a:path>
              </a:pathLst>
            </a:custGeom>
            <a:solidFill>
              <a:srgbClr val="11A7AD"/>
            </a:solidFill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13" name="Freeform 72">
              <a:extLst>
                <a:ext uri="{FF2B5EF4-FFF2-40B4-BE49-F238E27FC236}">
                  <a16:creationId xmlns:a16="http://schemas.microsoft.com/office/drawing/2014/main" xmlns="" id="{67F4C577-FA19-F92A-310B-FA177A27215A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2690813" y="1057275"/>
              <a:ext cx="575263" cy="458867"/>
            </a:xfrm>
            <a:custGeom>
              <a:avLst/>
              <a:gdLst>
                <a:gd name="T0" fmla="*/ 989 w 12830"/>
                <a:gd name="T1" fmla="*/ 10236 h 10236"/>
                <a:gd name="T2" fmla="*/ 2622 w 12830"/>
                <a:gd name="T3" fmla="*/ 0 h 10236"/>
                <a:gd name="T4" fmla="*/ 12830 w 12830"/>
                <a:gd name="T5" fmla="*/ 6876 h 10236"/>
                <a:gd name="T6" fmla="*/ 989 w 12830"/>
                <a:gd name="T7" fmla="*/ 10236 h 1023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2830" h="10236">
                  <a:moveTo>
                    <a:pt x="989" y="10236"/>
                  </a:moveTo>
                  <a:cubicBezTo>
                    <a:pt x="0" y="6750"/>
                    <a:pt x="598" y="3005"/>
                    <a:pt x="2622" y="0"/>
                  </a:cubicBezTo>
                  <a:lnTo>
                    <a:pt x="12830" y="6876"/>
                  </a:lnTo>
                  <a:lnTo>
                    <a:pt x="989" y="10236"/>
                  </a:lnTo>
                  <a:close/>
                </a:path>
              </a:pathLst>
            </a:custGeom>
            <a:solidFill>
              <a:srgbClr val="37A2DA"/>
            </a:solidFill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14" name="Freeform 73">
              <a:extLst>
                <a:ext uri="{FF2B5EF4-FFF2-40B4-BE49-F238E27FC236}">
                  <a16:creationId xmlns:a16="http://schemas.microsoft.com/office/drawing/2014/main" xmlns="" id="{4ADBBA27-B575-F032-14EB-6835FFE24ABA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2933701" y="985837"/>
              <a:ext cx="340043" cy="390049"/>
            </a:xfrm>
            <a:custGeom>
              <a:avLst/>
              <a:gdLst>
                <a:gd name="T0" fmla="*/ 0 w 10208"/>
                <a:gd name="T1" fmla="*/ 4809 h 11685"/>
                <a:gd name="T2" fmla="*/ 6341 w 10208"/>
                <a:gd name="T3" fmla="*/ 0 h 11685"/>
                <a:gd name="T4" fmla="*/ 10208 w 10208"/>
                <a:gd name="T5" fmla="*/ 11685 h 11685"/>
                <a:gd name="T6" fmla="*/ 0 w 10208"/>
                <a:gd name="T7" fmla="*/ 4809 h 1168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208" h="11685">
                  <a:moveTo>
                    <a:pt x="0" y="4809"/>
                  </a:moveTo>
                  <a:cubicBezTo>
                    <a:pt x="1523" y="2548"/>
                    <a:pt x="3754" y="857"/>
                    <a:pt x="6341" y="0"/>
                  </a:cubicBezTo>
                  <a:lnTo>
                    <a:pt x="10208" y="11685"/>
                  </a:lnTo>
                  <a:lnTo>
                    <a:pt x="0" y="4809"/>
                  </a:lnTo>
                  <a:close/>
                </a:path>
              </a:pathLst>
            </a:custGeom>
            <a:solidFill>
              <a:srgbClr val="0070C0"/>
            </a:solidFill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15" name="Freeform 74">
              <a:extLst>
                <a:ext uri="{FF2B5EF4-FFF2-40B4-BE49-F238E27FC236}">
                  <a16:creationId xmlns:a16="http://schemas.microsoft.com/office/drawing/2014/main" xmlns="" id="{26E0D1ED-2759-44E9-1C95-C68D6D1E06D3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3205163" y="1166813"/>
              <a:ext cx="62341" cy="199168"/>
            </a:xfrm>
            <a:custGeom>
              <a:avLst/>
              <a:gdLst>
                <a:gd name="T0" fmla="*/ 0 w 3867"/>
                <a:gd name="T1" fmla="*/ 623 h 12308"/>
                <a:gd name="T2" fmla="*/ 3867 w 3867"/>
                <a:gd name="T3" fmla="*/ 0 h 12308"/>
                <a:gd name="T4" fmla="*/ 3867 w 3867"/>
                <a:gd name="T5" fmla="*/ 12308 h 12308"/>
                <a:gd name="T6" fmla="*/ 0 w 3867"/>
                <a:gd name="T7" fmla="*/ 623 h 1230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867" h="12308">
                  <a:moveTo>
                    <a:pt x="0" y="623"/>
                  </a:moveTo>
                  <a:cubicBezTo>
                    <a:pt x="1248" y="211"/>
                    <a:pt x="2553" y="0"/>
                    <a:pt x="3867" y="0"/>
                  </a:cubicBezTo>
                  <a:lnTo>
                    <a:pt x="3867" y="12308"/>
                  </a:lnTo>
                  <a:lnTo>
                    <a:pt x="0" y="623"/>
                  </a:lnTo>
                  <a:close/>
                </a:path>
              </a:pathLst>
            </a:custGeom>
            <a:solidFill>
              <a:srgbClr val="7030A0"/>
            </a:solidFill>
            <a:ln w="0">
              <a:noFill/>
              <a:prstDash val="solid"/>
              <a:round/>
              <a:headEnd/>
              <a:tailEnd/>
            </a:ln>
          </xdr:spPr>
        </xdr:sp>
      </xdr:grpSp>
    </xdr:grpSp>
    <xdr:clientData/>
  </xdr:twoCellAnchor>
  <xdr:twoCellAnchor>
    <xdr:from>
      <xdr:col>4</xdr:col>
      <xdr:colOff>204788</xdr:colOff>
      <xdr:row>1</xdr:row>
      <xdr:rowOff>123825</xdr:rowOff>
    </xdr:from>
    <xdr:to>
      <xdr:col>11</xdr:col>
      <xdr:colOff>319094</xdr:colOff>
      <xdr:row>6</xdr:row>
      <xdr:rowOff>147579</xdr:rowOff>
    </xdr:to>
    <xdr:sp macro="" textlink="">
      <xdr:nvSpPr>
        <xdr:cNvPr id="19" name="文本框 11">
          <a:extLst>
            <a:ext uri="{FF2B5EF4-FFF2-40B4-BE49-F238E27FC236}">
              <a16:creationId xmlns:a16="http://schemas.microsoft.com/office/drawing/2014/main" xmlns="" id="{D36A7DCD-6EB3-4D15-B4F3-1EC3B0B1B7D5}"/>
            </a:ext>
          </a:extLst>
        </xdr:cNvPr>
        <xdr:cNvSpPr txBox="1"/>
      </xdr:nvSpPr>
      <xdr:spPr>
        <a:xfrm>
          <a:off x="2795588" y="300038"/>
          <a:ext cx="4648206" cy="9048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18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2021</a:t>
          </a:r>
          <a:r>
            <a:rPr lang="zh-CN" altLang="en-US" sz="18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年各部门人数分布</a:t>
          </a:r>
          <a:endParaRPr lang="en-US" altLang="zh-CN" sz="1800" b="1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>
            <a:lnSpc>
              <a:spcPts val="2000"/>
            </a:lnSpc>
          </a:pPr>
          <a:r>
            <a:rPr lang="zh-CN" altLang="en-US" sz="12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公司总人数</a:t>
          </a:r>
          <a:r>
            <a:rPr lang="en-US" altLang="zh-CN" sz="12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1664</a:t>
          </a:r>
          <a:r>
            <a:rPr lang="zh-CN" altLang="en-US" sz="12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，销售部人数最多</a:t>
          </a:r>
          <a:r>
            <a:rPr lang="en-US" altLang="zh-CN" sz="12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451</a:t>
          </a:r>
          <a:r>
            <a:rPr lang="zh-CN" altLang="en-US" sz="12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，占比</a:t>
          </a:r>
          <a:r>
            <a:rPr lang="en-US" altLang="zh-CN" sz="12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29.2%</a:t>
          </a:r>
          <a:endParaRPr lang="zh-CN" altLang="en-US" sz="1100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4</xdr:col>
      <xdr:colOff>157162</xdr:colOff>
      <xdr:row>21</xdr:row>
      <xdr:rowOff>14288</xdr:rowOff>
    </xdr:from>
    <xdr:to>
      <xdr:col>9</xdr:col>
      <xdr:colOff>596925</xdr:colOff>
      <xdr:row>22</xdr:row>
      <xdr:rowOff>101612</xdr:rowOff>
    </xdr:to>
    <xdr:sp macro="" textlink="">
      <xdr:nvSpPr>
        <xdr:cNvPr id="20" name="文本框 12">
          <a:extLst>
            <a:ext uri="{FF2B5EF4-FFF2-40B4-BE49-F238E27FC236}">
              <a16:creationId xmlns:a16="http://schemas.microsoft.com/office/drawing/2014/main" xmlns="" id="{8F689C9A-3DE3-47C0-8431-D004A6FE2541}"/>
            </a:ext>
          </a:extLst>
        </xdr:cNvPr>
        <xdr:cNvSpPr txBox="1"/>
      </xdr:nvSpPr>
      <xdr:spPr>
        <a:xfrm>
          <a:off x="2747962" y="3714751"/>
          <a:ext cx="3678263" cy="2635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*</a:t>
          </a:r>
          <a:r>
            <a:rPr lang="zh-CN" altLang="en-US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注：数据来源于公司人力资源系统，统计日期截至</a:t>
          </a:r>
          <a:r>
            <a:rPr lang="en-US" altLang="zh-CN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2022.01.01</a:t>
          </a:r>
          <a:endParaRPr lang="zh-CN" altLang="en-US" sz="800">
            <a:solidFill>
              <a:schemeClr val="bg1">
                <a:lumMod val="85000"/>
              </a:schemeClr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0.74821</cdr:x>
      <cdr:y>0.34235</cdr:y>
    </cdr:from>
    <cdr:to>
      <cdr:x>0.92927</cdr:x>
      <cdr:y>0.40499</cdr:y>
    </cdr:to>
    <cdr:grpSp>
      <cdr:nvGrpSpPr>
        <cdr:cNvPr id="2" name="组合 1">
          <a:extLst xmlns:a="http://schemas.openxmlformats.org/drawingml/2006/main">
            <a:ext uri="{FF2B5EF4-FFF2-40B4-BE49-F238E27FC236}">
              <a16:creationId xmlns:a16="http://schemas.microsoft.com/office/drawing/2014/main" xmlns="" id="{B11A4CE7-C268-4E6D-99BF-D1A7759DFB35}"/>
            </a:ext>
          </a:extLst>
        </cdr:cNvPr>
        <cdr:cNvGrpSpPr/>
      </cdr:nvGrpSpPr>
      <cdr:grpSpPr>
        <a:xfrm xmlns:a="http://schemas.openxmlformats.org/drawingml/2006/main">
          <a:off x="3876925" y="1327180"/>
          <a:ext cx="938180" cy="242835"/>
          <a:chOff x="2512355" y="238145"/>
          <a:chExt cx="978134" cy="242888"/>
        </a:xfrm>
      </cdr:grpSpPr>
      <cdr:cxnSp macro="">
        <cdr:nvCxnSpPr>
          <cdr:cNvPr id="18" name="直接连接符 17">
            <a:extLst xmlns:a="http://schemas.openxmlformats.org/drawingml/2006/main">
              <a:ext uri="{FF2B5EF4-FFF2-40B4-BE49-F238E27FC236}">
                <a16:creationId xmlns:a16="http://schemas.microsoft.com/office/drawing/2014/main" xmlns="" id="{CF53DC90-BB18-4FF6-AE5A-2E4A8EEBFEB3}"/>
              </a:ext>
            </a:extLst>
          </cdr:cNvPr>
          <cdr:cNvCxnSpPr/>
        </cdr:nvCxnSpPr>
        <cdr:spPr>
          <a:xfrm xmlns:a="http://schemas.openxmlformats.org/drawingml/2006/main">
            <a:off x="2715925" y="238145"/>
            <a:ext cx="774564" cy="0"/>
          </a:xfrm>
          <a:prstGeom xmlns:a="http://schemas.openxmlformats.org/drawingml/2006/main" prst="line">
            <a:avLst/>
          </a:prstGeom>
          <a:ln xmlns:a="http://schemas.openxmlformats.org/drawingml/2006/main">
            <a:solidFill>
              <a:srgbClr val="E74E69"/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19" name="直接连接符 18">
            <a:extLst xmlns:a="http://schemas.openxmlformats.org/drawingml/2006/main">
              <a:ext uri="{FF2B5EF4-FFF2-40B4-BE49-F238E27FC236}">
                <a16:creationId xmlns:a16="http://schemas.microsoft.com/office/drawing/2014/main" xmlns="" id="{6E6B24D1-DEA8-41D0-AD26-09E6FB531DDE}"/>
              </a:ext>
            </a:extLst>
          </cdr:cNvPr>
          <cdr:cNvCxnSpPr/>
        </cdr:nvCxnSpPr>
        <cdr:spPr>
          <a:xfrm xmlns:a="http://schemas.openxmlformats.org/drawingml/2006/main" flipV="1">
            <a:off x="2512355" y="242908"/>
            <a:ext cx="198606" cy="238125"/>
          </a:xfrm>
          <a:prstGeom xmlns:a="http://schemas.openxmlformats.org/drawingml/2006/main" prst="line">
            <a:avLst/>
          </a:prstGeom>
          <a:ln xmlns:a="http://schemas.openxmlformats.org/drawingml/2006/main" w="0">
            <a:solidFill>
              <a:srgbClr val="E74E69"/>
            </a:solidFill>
            <a:round/>
            <a:headEnd type="oval" w="sm" len="sm"/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</cdr:grpSp>
  </cdr:relSizeAnchor>
  <cdr:relSizeAnchor xmlns:cdr="http://schemas.openxmlformats.org/drawingml/2006/chartDrawing">
    <cdr:from>
      <cdr:x>0.16041</cdr:x>
      <cdr:y>0.7994</cdr:y>
    </cdr:from>
    <cdr:to>
      <cdr:x>0.34055</cdr:x>
      <cdr:y>0.86206</cdr:y>
    </cdr:to>
    <cdr:grpSp>
      <cdr:nvGrpSpPr>
        <cdr:cNvPr id="3" name="组合 2">
          <a:extLst xmlns:a="http://schemas.openxmlformats.org/drawingml/2006/main">
            <a:ext uri="{FF2B5EF4-FFF2-40B4-BE49-F238E27FC236}">
              <a16:creationId xmlns:a16="http://schemas.microsoft.com/office/drawing/2014/main" xmlns="" id="{B2D1A581-B3A0-460B-BD4C-F406965481F4}"/>
            </a:ext>
          </a:extLst>
        </cdr:cNvPr>
        <cdr:cNvGrpSpPr/>
      </cdr:nvGrpSpPr>
      <cdr:grpSpPr>
        <a:xfrm xmlns:a="http://schemas.openxmlformats.org/drawingml/2006/main" rot="10800000">
          <a:off x="831180" y="3099014"/>
          <a:ext cx="933414" cy="242912"/>
          <a:chOff x="48058" y="1912850"/>
          <a:chExt cx="973170" cy="242888"/>
        </a:xfrm>
      </cdr:grpSpPr>
      <cdr:cxnSp macro="">
        <cdr:nvCxnSpPr>
          <cdr:cNvPr id="16" name="直接连接符 15">
            <a:extLst xmlns:a="http://schemas.openxmlformats.org/drawingml/2006/main">
              <a:ext uri="{FF2B5EF4-FFF2-40B4-BE49-F238E27FC236}">
                <a16:creationId xmlns:a16="http://schemas.microsoft.com/office/drawing/2014/main" xmlns="" id="{2CDC1EF6-3D72-4A09-851F-317B88453903}"/>
              </a:ext>
            </a:extLst>
          </cdr:cNvPr>
          <cdr:cNvCxnSpPr/>
        </cdr:nvCxnSpPr>
        <cdr:spPr>
          <a:xfrm xmlns:a="http://schemas.openxmlformats.org/drawingml/2006/main">
            <a:off x="246664" y="1912850"/>
            <a:ext cx="774564" cy="0"/>
          </a:xfrm>
          <a:prstGeom xmlns:a="http://schemas.openxmlformats.org/drawingml/2006/main" prst="line">
            <a:avLst/>
          </a:prstGeom>
          <a:ln xmlns:a="http://schemas.openxmlformats.org/drawingml/2006/main">
            <a:solidFill>
              <a:srgbClr val="11A7AD"/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17" name="直接连接符 16">
            <a:extLst xmlns:a="http://schemas.openxmlformats.org/drawingml/2006/main">
              <a:ext uri="{FF2B5EF4-FFF2-40B4-BE49-F238E27FC236}">
                <a16:creationId xmlns:a16="http://schemas.microsoft.com/office/drawing/2014/main" xmlns="" id="{EBF30883-EDC4-467A-85F4-84B90FE9EAE2}"/>
              </a:ext>
            </a:extLst>
          </cdr:cNvPr>
          <cdr:cNvCxnSpPr/>
        </cdr:nvCxnSpPr>
        <cdr:spPr>
          <a:xfrm xmlns:a="http://schemas.openxmlformats.org/drawingml/2006/main" flipV="1">
            <a:off x="48058" y="1917613"/>
            <a:ext cx="198606" cy="238125"/>
          </a:xfrm>
          <a:prstGeom xmlns:a="http://schemas.openxmlformats.org/drawingml/2006/main" prst="line">
            <a:avLst/>
          </a:prstGeom>
          <a:ln xmlns:a="http://schemas.openxmlformats.org/drawingml/2006/main" w="0">
            <a:solidFill>
              <a:srgbClr val="11A7AD"/>
            </a:solidFill>
            <a:round/>
            <a:headEnd type="oval" w="sm" len="sm"/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</cdr:grpSp>
  </cdr:relSizeAnchor>
  <cdr:relSizeAnchor xmlns:cdr="http://schemas.openxmlformats.org/drawingml/2006/chartDrawing">
    <cdr:from>
      <cdr:x>0.13572</cdr:x>
      <cdr:y>0.57178</cdr:y>
    </cdr:from>
    <cdr:to>
      <cdr:x>0.31495</cdr:x>
      <cdr:y>0.6332</cdr:y>
    </cdr:to>
    <cdr:grpSp>
      <cdr:nvGrpSpPr>
        <cdr:cNvPr id="4" name="组合 3">
          <a:extLst xmlns:a="http://schemas.openxmlformats.org/drawingml/2006/main">
            <a:ext uri="{FF2B5EF4-FFF2-40B4-BE49-F238E27FC236}">
              <a16:creationId xmlns:a16="http://schemas.microsoft.com/office/drawing/2014/main" xmlns="" id="{74800097-8F2D-4236-B8C1-FBF8E49AB86B}"/>
            </a:ext>
          </a:extLst>
        </cdr:cNvPr>
        <cdr:cNvGrpSpPr/>
      </cdr:nvGrpSpPr>
      <cdr:grpSpPr>
        <a:xfrm xmlns:a="http://schemas.openxmlformats.org/drawingml/2006/main" rot="10800000">
          <a:off x="703247" y="2216605"/>
          <a:ext cx="928698" cy="238106"/>
          <a:chOff x="84407" y="1069199"/>
          <a:chExt cx="968206" cy="238125"/>
        </a:xfrm>
      </cdr:grpSpPr>
      <cdr:cxnSp macro="">
        <cdr:nvCxnSpPr>
          <cdr:cNvPr id="14" name="直接连接符 13">
            <a:extLst xmlns:a="http://schemas.openxmlformats.org/drawingml/2006/main">
              <a:ext uri="{FF2B5EF4-FFF2-40B4-BE49-F238E27FC236}">
                <a16:creationId xmlns:a16="http://schemas.microsoft.com/office/drawing/2014/main" xmlns="" id="{F51E97A8-D55B-4514-8AFB-AE2008B9BBF0}"/>
              </a:ext>
            </a:extLst>
          </cdr:cNvPr>
          <cdr:cNvCxnSpPr/>
        </cdr:nvCxnSpPr>
        <cdr:spPr>
          <a:xfrm xmlns:a="http://schemas.openxmlformats.org/drawingml/2006/main">
            <a:off x="278049" y="1073962"/>
            <a:ext cx="774564" cy="0"/>
          </a:xfrm>
          <a:prstGeom xmlns:a="http://schemas.openxmlformats.org/drawingml/2006/main" prst="line">
            <a:avLst/>
          </a:prstGeom>
          <a:ln xmlns:a="http://schemas.openxmlformats.org/drawingml/2006/main">
            <a:solidFill>
              <a:srgbClr val="0070C0"/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15" name="直接连接符 14">
            <a:extLst xmlns:a="http://schemas.openxmlformats.org/drawingml/2006/main">
              <a:ext uri="{FF2B5EF4-FFF2-40B4-BE49-F238E27FC236}">
                <a16:creationId xmlns:a16="http://schemas.microsoft.com/office/drawing/2014/main" xmlns="" id="{830782FA-B80B-4FD6-BA06-A88E2FA3DF14}"/>
              </a:ext>
            </a:extLst>
          </cdr:cNvPr>
          <cdr:cNvCxnSpPr/>
        </cdr:nvCxnSpPr>
        <cdr:spPr>
          <a:xfrm xmlns:a="http://schemas.openxmlformats.org/drawingml/2006/main" flipV="1">
            <a:off x="84407" y="1069199"/>
            <a:ext cx="198606" cy="238125"/>
          </a:xfrm>
          <a:prstGeom xmlns:a="http://schemas.openxmlformats.org/drawingml/2006/main" prst="line">
            <a:avLst/>
          </a:prstGeom>
          <a:ln xmlns:a="http://schemas.openxmlformats.org/drawingml/2006/main" w="0">
            <a:solidFill>
              <a:srgbClr val="0070C0"/>
            </a:solidFill>
            <a:round/>
            <a:headEnd type="oval" w="sm" len="sm"/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</cdr:grpSp>
  </cdr:relSizeAnchor>
  <cdr:relSizeAnchor xmlns:cdr="http://schemas.openxmlformats.org/drawingml/2006/chartDrawing">
    <cdr:from>
      <cdr:x>0.6896</cdr:x>
      <cdr:y>0.79022</cdr:y>
    </cdr:from>
    <cdr:to>
      <cdr:x>0.86055</cdr:x>
      <cdr:y>0.84919</cdr:y>
    </cdr:to>
    <cdr:grpSp>
      <cdr:nvGrpSpPr>
        <cdr:cNvPr id="5" name="组合 4">
          <a:extLst xmlns:a="http://schemas.openxmlformats.org/drawingml/2006/main">
            <a:ext uri="{FF2B5EF4-FFF2-40B4-BE49-F238E27FC236}">
              <a16:creationId xmlns:a16="http://schemas.microsoft.com/office/drawing/2014/main" xmlns="" id="{40C4BBE1-63EE-4665-8DA6-1DBDE5E17663}"/>
            </a:ext>
          </a:extLst>
        </cdr:cNvPr>
        <cdr:cNvGrpSpPr/>
      </cdr:nvGrpSpPr>
      <cdr:grpSpPr>
        <a:xfrm xmlns:a="http://schemas.openxmlformats.org/drawingml/2006/main">
          <a:off x="3573231" y="3063426"/>
          <a:ext cx="885795" cy="228608"/>
          <a:chOff x="2341336" y="2083906"/>
          <a:chExt cx="875072" cy="228601"/>
        </a:xfrm>
      </cdr:grpSpPr>
      <cdr:cxnSp macro="">
        <cdr:nvCxnSpPr>
          <cdr:cNvPr id="12" name="直接连接符 11">
            <a:extLst xmlns:a="http://schemas.openxmlformats.org/drawingml/2006/main">
              <a:ext uri="{FF2B5EF4-FFF2-40B4-BE49-F238E27FC236}">
                <a16:creationId xmlns:a16="http://schemas.microsoft.com/office/drawing/2014/main" xmlns="" id="{A4034AC2-A5B7-47D8-B308-A5B44AB5028A}"/>
              </a:ext>
            </a:extLst>
          </cdr:cNvPr>
          <cdr:cNvCxnSpPr/>
        </cdr:nvCxnSpPr>
        <cdr:spPr>
          <a:xfrm xmlns:a="http://schemas.openxmlformats.org/drawingml/2006/main">
            <a:off x="2482477" y="2312506"/>
            <a:ext cx="733931" cy="0"/>
          </a:xfrm>
          <a:prstGeom xmlns:a="http://schemas.openxmlformats.org/drawingml/2006/main" prst="line">
            <a:avLst/>
          </a:prstGeom>
          <a:ln xmlns:a="http://schemas.openxmlformats.org/drawingml/2006/main">
            <a:solidFill>
              <a:srgbClr val="FAB250"/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13" name="直接连接符 12">
            <a:extLst xmlns:a="http://schemas.openxmlformats.org/drawingml/2006/main">
              <a:ext uri="{FF2B5EF4-FFF2-40B4-BE49-F238E27FC236}">
                <a16:creationId xmlns:a16="http://schemas.microsoft.com/office/drawing/2014/main" xmlns="" id="{CEBA1C50-5897-4357-90BE-FDB0128B99CC}"/>
              </a:ext>
            </a:extLst>
          </cdr:cNvPr>
          <cdr:cNvCxnSpPr/>
        </cdr:nvCxnSpPr>
        <cdr:spPr>
          <a:xfrm xmlns:a="http://schemas.openxmlformats.org/drawingml/2006/main">
            <a:off x="2341336" y="2083906"/>
            <a:ext cx="141140" cy="228601"/>
          </a:xfrm>
          <a:prstGeom xmlns:a="http://schemas.openxmlformats.org/drawingml/2006/main" prst="line">
            <a:avLst/>
          </a:prstGeom>
          <a:ln xmlns:a="http://schemas.openxmlformats.org/drawingml/2006/main" w="0">
            <a:solidFill>
              <a:srgbClr val="FAB250"/>
            </a:solidFill>
            <a:round/>
            <a:headEnd type="oval" w="sm" len="sm"/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</cdr:grpSp>
  </cdr:relSizeAnchor>
  <cdr:relSizeAnchor xmlns:cdr="http://schemas.openxmlformats.org/drawingml/2006/chartDrawing">
    <cdr:from>
      <cdr:x>0.18956</cdr:x>
      <cdr:y>0.40488</cdr:y>
    </cdr:from>
    <cdr:to>
      <cdr:x>0.40739</cdr:x>
      <cdr:y>0.46385</cdr:y>
    </cdr:to>
    <cdr:grpSp>
      <cdr:nvGrpSpPr>
        <cdr:cNvPr id="6" name="组合 5">
          <a:extLst xmlns:a="http://schemas.openxmlformats.org/drawingml/2006/main">
            <a:ext uri="{FF2B5EF4-FFF2-40B4-BE49-F238E27FC236}">
              <a16:creationId xmlns:a16="http://schemas.microsoft.com/office/drawing/2014/main" xmlns="" id="{2CE2F69C-09CA-45B6-BAF5-6FCC37AF40BA}"/>
            </a:ext>
          </a:extLst>
        </cdr:cNvPr>
        <cdr:cNvGrpSpPr/>
      </cdr:nvGrpSpPr>
      <cdr:grpSpPr>
        <a:xfrm xmlns:a="http://schemas.openxmlformats.org/drawingml/2006/main" rot="10800000">
          <a:off x="982224" y="1569588"/>
          <a:ext cx="1128708" cy="228608"/>
          <a:chOff x="453774" y="301151"/>
          <a:chExt cx="1210801" cy="228602"/>
        </a:xfrm>
      </cdr:grpSpPr>
      <cdr:cxnSp macro="">
        <cdr:nvCxnSpPr>
          <cdr:cNvPr id="10" name="直接连接符 9">
            <a:extLst xmlns:a="http://schemas.openxmlformats.org/drawingml/2006/main">
              <a:ext uri="{FF2B5EF4-FFF2-40B4-BE49-F238E27FC236}">
                <a16:creationId xmlns:a16="http://schemas.microsoft.com/office/drawing/2014/main" xmlns="" id="{7C108C92-306D-4DEF-8438-513441FA71D8}"/>
              </a:ext>
            </a:extLst>
          </cdr:cNvPr>
          <cdr:cNvCxnSpPr/>
        </cdr:nvCxnSpPr>
        <cdr:spPr>
          <a:xfrm xmlns:a="http://schemas.openxmlformats.org/drawingml/2006/main" rot="10800000" flipH="1">
            <a:off x="612148" y="529753"/>
            <a:ext cx="1052427" cy="0"/>
          </a:xfrm>
          <a:prstGeom xmlns:a="http://schemas.openxmlformats.org/drawingml/2006/main" prst="line">
            <a:avLst/>
          </a:prstGeom>
          <a:ln xmlns:a="http://schemas.openxmlformats.org/drawingml/2006/main">
            <a:solidFill>
              <a:srgbClr val="37A2DA"/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11" name="直接连接符 10">
            <a:extLst xmlns:a="http://schemas.openxmlformats.org/drawingml/2006/main">
              <a:ext uri="{FF2B5EF4-FFF2-40B4-BE49-F238E27FC236}">
                <a16:creationId xmlns:a16="http://schemas.microsoft.com/office/drawing/2014/main" xmlns="" id="{635308DE-9483-4A5F-919A-FB0A1406A5E4}"/>
              </a:ext>
            </a:extLst>
          </cdr:cNvPr>
          <cdr:cNvCxnSpPr/>
        </cdr:nvCxnSpPr>
        <cdr:spPr>
          <a:xfrm xmlns:a="http://schemas.openxmlformats.org/drawingml/2006/main">
            <a:off x="453774" y="301151"/>
            <a:ext cx="153266" cy="228601"/>
          </a:xfrm>
          <a:prstGeom xmlns:a="http://schemas.openxmlformats.org/drawingml/2006/main" prst="line">
            <a:avLst/>
          </a:prstGeom>
          <a:ln xmlns:a="http://schemas.openxmlformats.org/drawingml/2006/main" w="0">
            <a:solidFill>
              <a:srgbClr val="37A2DA"/>
            </a:solidFill>
            <a:round/>
            <a:headEnd type="oval" w="sm" len="sm"/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</cdr:grpSp>
  </cdr:relSizeAnchor>
  <cdr:relSizeAnchor xmlns:cdr="http://schemas.openxmlformats.org/drawingml/2006/chartDrawing">
    <cdr:from>
      <cdr:x>0.30418</cdr:x>
      <cdr:y>0.35416</cdr:y>
    </cdr:from>
    <cdr:to>
      <cdr:x>0.47514</cdr:x>
      <cdr:y>0.41313</cdr:y>
    </cdr:to>
    <cdr:grpSp>
      <cdr:nvGrpSpPr>
        <cdr:cNvPr id="7" name="组合 6">
          <a:extLst xmlns:a="http://schemas.openxmlformats.org/drawingml/2006/main">
            <a:ext uri="{FF2B5EF4-FFF2-40B4-BE49-F238E27FC236}">
              <a16:creationId xmlns:a16="http://schemas.microsoft.com/office/drawing/2014/main" xmlns="" id="{E5EAA5C8-D58B-467B-8B19-9A2F7C05E9EE}"/>
            </a:ext>
          </a:extLst>
        </cdr:cNvPr>
        <cdr:cNvGrpSpPr/>
      </cdr:nvGrpSpPr>
      <cdr:grpSpPr>
        <a:xfrm xmlns:a="http://schemas.openxmlformats.org/drawingml/2006/main" rot="10800000">
          <a:off x="1576139" y="1372963"/>
          <a:ext cx="885846" cy="228608"/>
          <a:chOff x="1438191" y="488449"/>
          <a:chExt cx="925637" cy="228601"/>
        </a:xfrm>
      </cdr:grpSpPr>
      <cdr:cxnSp macro="">
        <cdr:nvCxnSpPr>
          <cdr:cNvPr id="8" name="直接连接符 7">
            <a:extLst xmlns:a="http://schemas.openxmlformats.org/drawingml/2006/main">
              <a:ext uri="{FF2B5EF4-FFF2-40B4-BE49-F238E27FC236}">
                <a16:creationId xmlns:a16="http://schemas.microsoft.com/office/drawing/2014/main" xmlns="" id="{6C8040C5-79AE-45E3-AC05-CB25C97AC85B}"/>
              </a:ext>
            </a:extLst>
          </cdr:cNvPr>
          <cdr:cNvCxnSpPr/>
        </cdr:nvCxnSpPr>
        <cdr:spPr>
          <a:xfrm xmlns:a="http://schemas.openxmlformats.org/drawingml/2006/main">
            <a:off x="1587487" y="717049"/>
            <a:ext cx="776341" cy="0"/>
          </a:xfrm>
          <a:prstGeom xmlns:a="http://schemas.openxmlformats.org/drawingml/2006/main" prst="line">
            <a:avLst/>
          </a:prstGeom>
          <a:ln xmlns:a="http://schemas.openxmlformats.org/drawingml/2006/main">
            <a:solidFill>
              <a:srgbClr val="7030A0"/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9" name="直接连接符 8">
            <a:extLst xmlns:a="http://schemas.openxmlformats.org/drawingml/2006/main">
              <a:ext uri="{FF2B5EF4-FFF2-40B4-BE49-F238E27FC236}">
                <a16:creationId xmlns:a16="http://schemas.microsoft.com/office/drawing/2014/main" xmlns="" id="{4B6F899E-3AB3-4002-A50D-08824D4778B6}"/>
              </a:ext>
            </a:extLst>
          </cdr:cNvPr>
          <cdr:cNvCxnSpPr/>
        </cdr:nvCxnSpPr>
        <cdr:spPr>
          <a:xfrm xmlns:a="http://schemas.openxmlformats.org/drawingml/2006/main">
            <a:off x="1438191" y="488449"/>
            <a:ext cx="149296" cy="228601"/>
          </a:xfrm>
          <a:prstGeom xmlns:a="http://schemas.openxmlformats.org/drawingml/2006/main" prst="line">
            <a:avLst/>
          </a:prstGeom>
          <a:ln xmlns:a="http://schemas.openxmlformats.org/drawingml/2006/main" w="0">
            <a:solidFill>
              <a:srgbClr val="7030A0"/>
            </a:solidFill>
            <a:round/>
            <a:headEnd type="oval" w="sm" len="sm"/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</cdr:grp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17</xdr:col>
      <xdr:colOff>0</xdr:colOff>
      <xdr:row>23</xdr:row>
      <xdr:rowOff>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xmlns="" id="{CE1D611B-D8A8-0C7C-21C3-6351CBCDCD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0.47256</cdr:x>
      <cdr:y>0.72865</cdr:y>
    </cdr:from>
    <cdr:to>
      <cdr:x>0.59546</cdr:x>
      <cdr:y>0.87392</cdr:y>
    </cdr:to>
    <cdr:sp macro="" textlink="">
      <cdr:nvSpPr>
        <cdr:cNvPr id="2" name="文本框 8">
          <a:extLst xmlns:a="http://schemas.openxmlformats.org/drawingml/2006/main">
            <a:ext uri="{FF2B5EF4-FFF2-40B4-BE49-F238E27FC236}">
              <a16:creationId xmlns:a16="http://schemas.microsoft.com/office/drawing/2014/main" xmlns="" id="{9155AB77-B835-2B3E-A4D4-23FB539361FA}"/>
            </a:ext>
          </a:extLst>
        </cdr:cNvPr>
        <cdr:cNvSpPr txBox="1"/>
      </cdr:nvSpPr>
      <cdr:spPr>
        <a:xfrm xmlns:a="http://schemas.openxmlformats.org/drawingml/2006/main">
          <a:off x="2448604" y="2824758"/>
          <a:ext cx="636820" cy="56316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2400">
              <a:solidFill>
                <a:schemeClr val="bg1"/>
              </a:solidFill>
            </a:rPr>
            <a:t>76</a:t>
          </a:r>
          <a:endParaRPr lang="zh-CN" altLang="en-US" sz="2400">
            <a:solidFill>
              <a:schemeClr val="bg1"/>
            </a:solidFill>
          </a:endParaRPr>
        </a:p>
      </cdr:txBody>
    </cdr:sp>
  </cdr:relSizeAnchor>
  <cdr:relSizeAnchor xmlns:cdr="http://schemas.openxmlformats.org/drawingml/2006/chartDrawing">
    <cdr:from>
      <cdr:x>0</cdr:x>
      <cdr:y>0.06265</cdr:y>
    </cdr:from>
    <cdr:to>
      <cdr:x>1</cdr:x>
      <cdr:y>0.19142</cdr:y>
    </cdr:to>
    <cdr:sp macro="" textlink="">
      <cdr:nvSpPr>
        <cdr:cNvPr id="4" name="文本框 11">
          <a:extLst xmlns:a="http://schemas.openxmlformats.org/drawingml/2006/main">
            <a:ext uri="{FF2B5EF4-FFF2-40B4-BE49-F238E27FC236}">
              <a16:creationId xmlns:a16="http://schemas.microsoft.com/office/drawing/2014/main" xmlns="" id="{8587AA85-E8E7-A415-EF21-225E94F5E0AB}"/>
            </a:ext>
          </a:extLst>
        </cdr:cNvPr>
        <cdr:cNvSpPr txBox="1"/>
      </cdr:nvSpPr>
      <cdr:spPr>
        <a:xfrm xmlns:a="http://schemas.openxmlformats.org/drawingml/2006/main">
          <a:off x="0" y="242886"/>
          <a:ext cx="5181600" cy="4992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altLang="zh-CN" sz="18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2022</a:t>
          </a:r>
          <a:r>
            <a:rPr lang="zh-CN" altLang="en-US" sz="18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年</a:t>
          </a:r>
          <a:r>
            <a:rPr lang="en-US" altLang="zh-CN" sz="18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6</a:t>
          </a:r>
          <a:r>
            <a:rPr lang="zh-CN" altLang="en-US" sz="18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月</a:t>
          </a:r>
          <a:r>
            <a:rPr lang="en-US" altLang="zh-CN" sz="18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29</a:t>
          </a:r>
          <a:r>
            <a:rPr lang="zh-CN" altLang="en-US" sz="18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公司整体运营指数良好</a:t>
          </a:r>
          <a:endParaRPr lang="en-US" altLang="zh-CN" sz="1800" b="1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13</xdr:col>
      <xdr:colOff>0</xdr:colOff>
      <xdr:row>22</xdr:row>
      <xdr:rowOff>1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xmlns="" id="{973664BB-3C14-B6D6-AA6F-93946A5983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452438</xdr:colOff>
      <xdr:row>6</xdr:row>
      <xdr:rowOff>76200</xdr:rowOff>
    </xdr:from>
    <xdr:to>
      <xdr:col>16</xdr:col>
      <xdr:colOff>252413</xdr:colOff>
      <xdr:row>9</xdr:row>
      <xdr:rowOff>138112</xdr:rowOff>
    </xdr:to>
    <xdr:sp macro="" textlink="">
      <xdr:nvSpPr>
        <xdr:cNvPr id="9" name="文本框 8">
          <a:extLst>
            <a:ext uri="{FF2B5EF4-FFF2-40B4-BE49-F238E27FC236}">
              <a16:creationId xmlns:a16="http://schemas.microsoft.com/office/drawing/2014/main" xmlns="" id="{FD3A8AE7-E1E3-C380-4587-56E6B01CF41B}"/>
            </a:ext>
          </a:extLst>
        </xdr:cNvPr>
        <xdr:cNvSpPr txBox="1"/>
      </xdr:nvSpPr>
      <xdr:spPr>
        <a:xfrm>
          <a:off x="8224838" y="1133475"/>
          <a:ext cx="2390775" cy="590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zh-CN" altLang="en-US" sz="1100"/>
        </a:p>
      </xdr:txBody>
    </xdr:sp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0.04565</cdr:x>
      <cdr:y>0.03046</cdr:y>
    </cdr:from>
    <cdr:to>
      <cdr:x>0.94271</cdr:x>
      <cdr:y>0.22909</cdr:y>
    </cdr:to>
    <cdr:sp macro="" textlink="">
      <cdr:nvSpPr>
        <cdr:cNvPr id="2" name="文本框 11">
          <a:extLst xmlns:a="http://schemas.openxmlformats.org/drawingml/2006/main">
            <a:ext uri="{FF2B5EF4-FFF2-40B4-BE49-F238E27FC236}">
              <a16:creationId xmlns:a16="http://schemas.microsoft.com/office/drawing/2014/main" xmlns="" id="{30C87DFB-AB8A-91B5-664B-9E6459EE5F92}"/>
            </a:ext>
          </a:extLst>
        </cdr:cNvPr>
        <cdr:cNvSpPr txBox="1"/>
      </cdr:nvSpPr>
      <cdr:spPr>
        <a:xfrm xmlns:a="http://schemas.openxmlformats.org/drawingml/2006/main">
          <a:off x="236537" y="112712"/>
          <a:ext cx="4648206" cy="7350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zh-CN" altLang="en-US" sz="18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近六年销售量及增长率</a:t>
          </a:r>
          <a:endParaRPr lang="en-US" altLang="zh-CN" sz="1800" b="1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 xmlns:a="http://schemas.openxmlformats.org/drawingml/2006/main">
          <a:r>
            <a:rPr lang="zh-CN" altLang="en-US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平台销量近</a:t>
          </a:r>
          <a:r>
            <a:rPr lang="en-US" altLang="zh-CN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6</a:t>
          </a:r>
          <a:r>
            <a:rPr lang="zh-CN" altLang="en-US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年持续增长，但近两年增长率有所放缓</a:t>
          </a:r>
        </a:p>
      </cdr:txBody>
    </cdr:sp>
  </cdr:relSizeAnchor>
  <cdr:relSizeAnchor xmlns:cdr="http://schemas.openxmlformats.org/drawingml/2006/chartDrawing">
    <cdr:from>
      <cdr:x>0.04197</cdr:x>
      <cdr:y>0.9172</cdr:y>
    </cdr:from>
    <cdr:to>
      <cdr:x>0.84344</cdr:x>
      <cdr:y>0.98542</cdr:y>
    </cdr:to>
    <cdr:sp macro="" textlink="">
      <cdr:nvSpPr>
        <cdr:cNvPr id="3" name="文本框 12">
          <a:extLst xmlns:a="http://schemas.openxmlformats.org/drawingml/2006/main">
            <a:ext uri="{FF2B5EF4-FFF2-40B4-BE49-F238E27FC236}">
              <a16:creationId xmlns:a16="http://schemas.microsoft.com/office/drawing/2014/main" xmlns="" id="{CDF9FEAC-12F4-588F-895A-C07018163CFE}"/>
            </a:ext>
          </a:extLst>
        </cdr:cNvPr>
        <cdr:cNvSpPr txBox="1"/>
      </cdr:nvSpPr>
      <cdr:spPr>
        <a:xfrm xmlns:a="http://schemas.openxmlformats.org/drawingml/2006/main">
          <a:off x="217487" y="3394075"/>
          <a:ext cx="4152897" cy="25244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*</a:t>
          </a:r>
          <a:r>
            <a:rPr lang="zh-CN" altLang="en-US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注：数据来源于公司销售系统</a:t>
          </a: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161925</xdr:colOff>
      <xdr:row>10</xdr:row>
      <xdr:rowOff>128587</xdr:rowOff>
    </xdr:from>
    <xdr:to>
      <xdr:col>38</xdr:col>
      <xdr:colOff>223838</xdr:colOff>
      <xdr:row>17</xdr:row>
      <xdr:rowOff>19050</xdr:rowOff>
    </xdr:to>
    <xdr:cxnSp macro="">
      <xdr:nvCxnSpPr>
        <xdr:cNvPr id="3" name="直接箭头连接符 2">
          <a:extLst>
            <a:ext uri="{FF2B5EF4-FFF2-40B4-BE49-F238E27FC236}">
              <a16:creationId xmlns:a16="http://schemas.microsoft.com/office/drawing/2014/main" xmlns="" id="{4322EB76-AAAA-426E-B8BC-BB2FE6A542C9}"/>
            </a:ext>
          </a:extLst>
        </xdr:cNvPr>
        <xdr:cNvCxnSpPr/>
      </xdr:nvCxnSpPr>
      <xdr:spPr>
        <a:xfrm flipH="1" flipV="1">
          <a:off x="24203025" y="1890712"/>
          <a:ext cx="709613" cy="1123951"/>
        </a:xfrm>
        <a:prstGeom prst="straightConnector1">
          <a:avLst/>
        </a:prstGeom>
        <a:ln w="952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107155</xdr:colOff>
      <xdr:row>19</xdr:row>
      <xdr:rowOff>71437</xdr:rowOff>
    </xdr:from>
    <xdr:to>
      <xdr:col>41</xdr:col>
      <xdr:colOff>145255</xdr:colOff>
      <xdr:row>34</xdr:row>
      <xdr:rowOff>171450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xmlns="" id="{D3F9B678-3F5E-AF2C-CFAA-37A26689AA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</xdr:row>
      <xdr:rowOff>0</xdr:rowOff>
    </xdr:from>
    <xdr:to>
      <xdr:col>13</xdr:col>
      <xdr:colOff>76200</xdr:colOff>
      <xdr:row>22</xdr:row>
      <xdr:rowOff>1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xmlns="" id="{462BE6CC-5768-6B8B-E798-15E9A72BAA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0.05585</cdr:x>
      <cdr:y>0.02788</cdr:y>
    </cdr:from>
    <cdr:to>
      <cdr:x>0.93992</cdr:x>
      <cdr:y>0.24743</cdr:y>
    </cdr:to>
    <cdr:sp macro="" textlink="">
      <cdr:nvSpPr>
        <cdr:cNvPr id="2" name="文本框 11">
          <a:extLst xmlns:a="http://schemas.openxmlformats.org/drawingml/2006/main">
            <a:ext uri="{FF2B5EF4-FFF2-40B4-BE49-F238E27FC236}">
              <a16:creationId xmlns:a16="http://schemas.microsoft.com/office/drawing/2014/main" xmlns="" id="{0AFAF975-1B7A-0D95-F316-C214AB5C4340}"/>
            </a:ext>
          </a:extLst>
        </cdr:cNvPr>
        <cdr:cNvSpPr txBox="1"/>
      </cdr:nvSpPr>
      <cdr:spPr>
        <a:xfrm xmlns:a="http://schemas.openxmlformats.org/drawingml/2006/main">
          <a:off x="293664" y="103181"/>
          <a:ext cx="4648263" cy="81243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18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2022</a:t>
          </a:r>
          <a:r>
            <a:rPr lang="zh-CN" altLang="en-US" sz="18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年上半年各商品销量完成情况</a:t>
          </a:r>
          <a:endParaRPr lang="en-US" altLang="zh-CN" sz="1800" b="1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 xmlns:a="http://schemas.openxmlformats.org/drawingml/2006/main">
          <a:r>
            <a:rPr lang="zh-CN" altLang="en-US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防晒整体销量最好，达到</a:t>
          </a:r>
          <a:r>
            <a:rPr lang="en-US" altLang="zh-CN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856</a:t>
          </a:r>
          <a:r>
            <a:rPr lang="zh-CN" altLang="en-US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，面霜远超目标，超额完成</a:t>
          </a:r>
          <a:r>
            <a:rPr lang="en-US" altLang="zh-CN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30%</a:t>
          </a:r>
          <a:endParaRPr lang="zh-CN" altLang="en-US" sz="1100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  <cdr:relSizeAnchor xmlns:cdr="http://schemas.openxmlformats.org/drawingml/2006/chartDrawing">
    <cdr:from>
      <cdr:x>0.05404</cdr:x>
      <cdr:y>0.90562</cdr:y>
    </cdr:from>
    <cdr:to>
      <cdr:x>0.84391</cdr:x>
      <cdr:y>0.98101</cdr:y>
    </cdr:to>
    <cdr:sp macro="" textlink="">
      <cdr:nvSpPr>
        <cdr:cNvPr id="3" name="文本框 12">
          <a:extLst xmlns:a="http://schemas.openxmlformats.org/drawingml/2006/main">
            <a:ext uri="{FF2B5EF4-FFF2-40B4-BE49-F238E27FC236}">
              <a16:creationId xmlns:a16="http://schemas.microsoft.com/office/drawing/2014/main" xmlns="" id="{06FCB663-348A-E8A4-4538-BF9E2FE9CBA3}"/>
            </a:ext>
          </a:extLst>
        </cdr:cNvPr>
        <cdr:cNvSpPr txBox="1"/>
      </cdr:nvSpPr>
      <cdr:spPr>
        <a:xfrm xmlns:a="http://schemas.openxmlformats.org/drawingml/2006/main">
          <a:off x="284149" y="3351221"/>
          <a:ext cx="4152979" cy="2789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*</a:t>
          </a:r>
          <a:r>
            <a:rPr lang="zh-CN" altLang="en-US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注：数据来源于公司销售系统，统计日期截至</a:t>
          </a:r>
          <a:r>
            <a:rPr lang="en-US" altLang="zh-CN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2022.06.30</a:t>
          </a:r>
          <a:endParaRPr lang="zh-CN" altLang="en-US" sz="800">
            <a:solidFill>
              <a:schemeClr val="bg1">
                <a:lumMod val="85000"/>
              </a:schemeClr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161925</xdr:colOff>
      <xdr:row>11</xdr:row>
      <xdr:rowOff>128587</xdr:rowOff>
    </xdr:from>
    <xdr:to>
      <xdr:col>34</xdr:col>
      <xdr:colOff>223838</xdr:colOff>
      <xdr:row>18</xdr:row>
      <xdr:rowOff>19050</xdr:rowOff>
    </xdr:to>
    <xdr:cxnSp macro="">
      <xdr:nvCxnSpPr>
        <xdr:cNvPr id="2" name="直接箭头连接符 1">
          <a:extLst>
            <a:ext uri="{FF2B5EF4-FFF2-40B4-BE49-F238E27FC236}">
              <a16:creationId xmlns:a16="http://schemas.microsoft.com/office/drawing/2014/main" xmlns="" id="{3FD4A9EC-DAC5-4BE9-9413-A3F64A1632A5}"/>
            </a:ext>
          </a:extLst>
        </xdr:cNvPr>
        <xdr:cNvCxnSpPr/>
      </xdr:nvCxnSpPr>
      <xdr:spPr>
        <a:xfrm flipH="1" flipV="1">
          <a:off x="21612225" y="2066925"/>
          <a:ext cx="709613" cy="1123950"/>
        </a:xfrm>
        <a:prstGeom prst="straightConnector1">
          <a:avLst/>
        </a:prstGeom>
        <a:ln w="952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107155</xdr:colOff>
      <xdr:row>20</xdr:row>
      <xdr:rowOff>71437</xdr:rowOff>
    </xdr:from>
    <xdr:to>
      <xdr:col>37</xdr:col>
      <xdr:colOff>145255</xdr:colOff>
      <xdr:row>35</xdr:row>
      <xdr:rowOff>171450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xmlns="" id="{733B1A47-71B0-49D6-8E16-92A9A7BDBE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xmlns="" id="{3A98242E-D40E-5769-A914-75CAE7CB9D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0.04473</cdr:x>
      <cdr:y>0.02402</cdr:y>
    </cdr:from>
    <cdr:to>
      <cdr:x>0.9418</cdr:x>
      <cdr:y>0.24357</cdr:y>
    </cdr:to>
    <cdr:sp macro="" textlink="">
      <cdr:nvSpPr>
        <cdr:cNvPr id="2" name="文本框 11">
          <a:extLst xmlns:a="http://schemas.openxmlformats.org/drawingml/2006/main">
            <a:ext uri="{FF2B5EF4-FFF2-40B4-BE49-F238E27FC236}">
              <a16:creationId xmlns:a16="http://schemas.microsoft.com/office/drawing/2014/main" xmlns="" id="{BDE911AC-E342-9F72-EF20-FB6486623483}"/>
            </a:ext>
          </a:extLst>
        </cdr:cNvPr>
        <cdr:cNvSpPr txBox="1"/>
      </cdr:nvSpPr>
      <cdr:spPr>
        <a:xfrm xmlns:a="http://schemas.openxmlformats.org/drawingml/2006/main">
          <a:off x="231775" y="88900"/>
          <a:ext cx="4648258" cy="8124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18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2022</a:t>
          </a:r>
          <a:r>
            <a:rPr lang="zh-CN" altLang="en-US" sz="18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年上半年各商品销量完成情况</a:t>
          </a:r>
          <a:endParaRPr lang="en-US" altLang="zh-CN" sz="1800" b="1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 xmlns:a="http://schemas.openxmlformats.org/drawingml/2006/main">
          <a:r>
            <a:rPr lang="zh-CN" altLang="en-US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防晒整体销量最好，达到</a:t>
          </a:r>
          <a:r>
            <a:rPr lang="en-US" altLang="zh-CN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856</a:t>
          </a:r>
          <a:r>
            <a:rPr lang="zh-CN" altLang="en-US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，面霜远超目标，超额完成</a:t>
          </a:r>
          <a:r>
            <a:rPr lang="en-US" altLang="zh-CN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30%</a:t>
          </a:r>
          <a:endParaRPr lang="zh-CN" altLang="en-US" sz="1100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  <cdr:relSizeAnchor xmlns:cdr="http://schemas.openxmlformats.org/drawingml/2006/chartDrawing">
    <cdr:from>
      <cdr:x>0.04473</cdr:x>
      <cdr:y>0.90948</cdr:y>
    </cdr:from>
    <cdr:to>
      <cdr:x>0.84621</cdr:x>
      <cdr:y>0.98487</cdr:y>
    </cdr:to>
    <cdr:sp macro="" textlink="">
      <cdr:nvSpPr>
        <cdr:cNvPr id="3" name="文本框 12">
          <a:extLst xmlns:a="http://schemas.openxmlformats.org/drawingml/2006/main">
            <a:ext uri="{FF2B5EF4-FFF2-40B4-BE49-F238E27FC236}">
              <a16:creationId xmlns:a16="http://schemas.microsoft.com/office/drawing/2014/main" xmlns="" id="{EE024F25-D27B-1156-4036-2F65EC9D8092}"/>
            </a:ext>
          </a:extLst>
        </cdr:cNvPr>
        <cdr:cNvSpPr txBox="1"/>
      </cdr:nvSpPr>
      <cdr:spPr>
        <a:xfrm xmlns:a="http://schemas.openxmlformats.org/drawingml/2006/main">
          <a:off x="231775" y="3365500"/>
          <a:ext cx="4152949" cy="2789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*</a:t>
          </a:r>
          <a:r>
            <a:rPr lang="zh-CN" altLang="en-US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注：数据来源于公司销售系统，统计日期截至</a:t>
          </a:r>
          <a:r>
            <a:rPr lang="en-US" altLang="zh-CN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2022.06.30</a:t>
          </a:r>
          <a:endParaRPr lang="zh-CN" altLang="en-US" sz="800">
            <a:solidFill>
              <a:schemeClr val="bg1">
                <a:lumMod val="85000"/>
              </a:schemeClr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452438</xdr:colOff>
      <xdr:row>5</xdr:row>
      <xdr:rowOff>76200</xdr:rowOff>
    </xdr:from>
    <xdr:to>
      <xdr:col>13</xdr:col>
      <xdr:colOff>252413</xdr:colOff>
      <xdr:row>7</xdr:row>
      <xdr:rowOff>138112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xmlns="" id="{27C84B01-00CF-4D1A-BE86-2523B1E2DAFE}"/>
            </a:ext>
          </a:extLst>
        </xdr:cNvPr>
        <xdr:cNvSpPr txBox="1"/>
      </xdr:nvSpPr>
      <xdr:spPr>
        <a:xfrm>
          <a:off x="8224838" y="1133475"/>
          <a:ext cx="2390775" cy="590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zh-CN" altLang="en-US" sz="1100"/>
        </a:p>
      </xdr:txBody>
    </xdr:sp>
    <xdr:clientData/>
  </xdr:twoCellAnchor>
  <xdr:twoCellAnchor>
    <xdr:from>
      <xdr:col>6</xdr:col>
      <xdr:colOff>4762</xdr:colOff>
      <xdr:row>0</xdr:row>
      <xdr:rowOff>161924</xdr:rowOff>
    </xdr:from>
    <xdr:to>
      <xdr:col>14</xdr:col>
      <xdr:colOff>0</xdr:colOff>
      <xdr:row>22</xdr:row>
      <xdr:rowOff>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xmlns="" id="{31F44890-77F8-7976-CA02-F0C637CB93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0.02545</cdr:x>
      <cdr:y>0.90727</cdr:y>
    </cdr:from>
    <cdr:to>
      <cdr:x>0.82766</cdr:x>
      <cdr:y>0.97522</cdr:y>
    </cdr:to>
    <cdr:sp macro="" textlink="">
      <cdr:nvSpPr>
        <cdr:cNvPr id="2" name="文本框 12">
          <a:extLst xmlns:a="http://schemas.openxmlformats.org/drawingml/2006/main">
            <a:ext uri="{FF2B5EF4-FFF2-40B4-BE49-F238E27FC236}">
              <a16:creationId xmlns:a16="http://schemas.microsoft.com/office/drawing/2014/main" xmlns="" id="{6CB8F949-0EC9-76D3-F3B1-D1A21C62D07B}"/>
            </a:ext>
          </a:extLst>
        </cdr:cNvPr>
        <cdr:cNvSpPr txBox="1"/>
      </cdr:nvSpPr>
      <cdr:spPr>
        <a:xfrm xmlns:a="http://schemas.openxmlformats.org/drawingml/2006/main">
          <a:off x="131762" y="3370263"/>
          <a:ext cx="4152897" cy="25244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*</a:t>
          </a:r>
          <a:r>
            <a:rPr lang="zh-CN" altLang="en-US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注：数据来源于公司销售系统，统计日期截至</a:t>
          </a:r>
          <a:r>
            <a:rPr lang="en-US" altLang="zh-CN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2022.06,30</a:t>
          </a:r>
          <a:endParaRPr lang="zh-CN" altLang="en-US" sz="800">
            <a:solidFill>
              <a:schemeClr val="bg1">
                <a:lumMod val="85000"/>
              </a:schemeClr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  <cdr:relSizeAnchor xmlns:cdr="http://schemas.openxmlformats.org/drawingml/2006/chartDrawing">
    <cdr:from>
      <cdr:x>0.04477</cdr:x>
      <cdr:y>0.02265</cdr:y>
    </cdr:from>
    <cdr:to>
      <cdr:x>0.94266</cdr:x>
      <cdr:y>0.22052</cdr:y>
    </cdr:to>
    <cdr:sp macro="" textlink="">
      <cdr:nvSpPr>
        <cdr:cNvPr id="3" name="文本框 11">
          <a:extLst xmlns:a="http://schemas.openxmlformats.org/drawingml/2006/main">
            <a:ext uri="{FF2B5EF4-FFF2-40B4-BE49-F238E27FC236}">
              <a16:creationId xmlns:a16="http://schemas.microsoft.com/office/drawing/2014/main" xmlns="" id="{F81524C7-72A5-F1B7-72A2-7990469CEB26}"/>
            </a:ext>
          </a:extLst>
        </cdr:cNvPr>
        <cdr:cNvSpPr txBox="1"/>
      </cdr:nvSpPr>
      <cdr:spPr>
        <a:xfrm xmlns:a="http://schemas.openxmlformats.org/drawingml/2006/main">
          <a:off x="231768" y="84122"/>
          <a:ext cx="4648231" cy="73503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zh-CN" altLang="en-US" sz="18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各区域上半年销量以同比</a:t>
          </a:r>
          <a:endParaRPr lang="en-US" altLang="zh-CN" sz="1800" b="1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 xmlns:a="http://schemas.openxmlformats.org/drawingml/2006/main">
          <a:r>
            <a:rPr lang="zh-CN" altLang="en-US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东北区域销量持续保持第一，华东和华南同比去年增长最多</a:t>
          </a:r>
        </a:p>
      </cdr:txBody>
    </cdr: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176212</xdr:rowOff>
    </xdr:from>
    <xdr:to>
      <xdr:col>14</xdr:col>
      <xdr:colOff>0</xdr:colOff>
      <xdr:row>23</xdr:row>
      <xdr:rowOff>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xmlns="" id="{682CEB0D-8839-16D4-7018-4CED129EC6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0.02727</cdr:x>
      <cdr:y>0.91605</cdr:y>
    </cdr:from>
    <cdr:to>
      <cdr:x>0.82874</cdr:x>
      <cdr:y>0.98116</cdr:y>
    </cdr:to>
    <cdr:sp macro="" textlink="">
      <cdr:nvSpPr>
        <cdr:cNvPr id="2" name="文本框 12">
          <a:extLst xmlns:a="http://schemas.openxmlformats.org/drawingml/2006/main">
            <a:ext uri="{FF2B5EF4-FFF2-40B4-BE49-F238E27FC236}">
              <a16:creationId xmlns:a16="http://schemas.microsoft.com/office/drawing/2014/main" xmlns="" id="{8E277BA6-7996-39F0-C43A-4758C60AF305}"/>
            </a:ext>
          </a:extLst>
        </cdr:cNvPr>
        <cdr:cNvSpPr txBox="1"/>
      </cdr:nvSpPr>
      <cdr:spPr>
        <a:xfrm xmlns:a="http://schemas.openxmlformats.org/drawingml/2006/main">
          <a:off x="141289" y="3551238"/>
          <a:ext cx="4152911" cy="25241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*</a:t>
          </a:r>
          <a:r>
            <a:rPr lang="zh-CN" altLang="en-US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注：数据来源于公司销售系统，统计日期截至</a:t>
          </a:r>
          <a:r>
            <a:rPr lang="en-US" altLang="zh-CN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2022.06,30</a:t>
          </a:r>
          <a:endParaRPr lang="zh-CN" altLang="en-US" sz="800">
            <a:solidFill>
              <a:schemeClr val="bg1">
                <a:lumMod val="85000"/>
              </a:schemeClr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  <cdr:relSizeAnchor xmlns:cdr="http://schemas.openxmlformats.org/drawingml/2006/chartDrawing">
    <cdr:from>
      <cdr:x>0.03554</cdr:x>
      <cdr:y>0.02785</cdr:y>
    </cdr:from>
    <cdr:to>
      <cdr:x>0.9326</cdr:x>
      <cdr:y>0.21745</cdr:y>
    </cdr:to>
    <cdr:sp macro="" textlink="">
      <cdr:nvSpPr>
        <cdr:cNvPr id="3" name="文本框 11">
          <a:extLst xmlns:a="http://schemas.openxmlformats.org/drawingml/2006/main">
            <a:ext uri="{FF2B5EF4-FFF2-40B4-BE49-F238E27FC236}">
              <a16:creationId xmlns:a16="http://schemas.microsoft.com/office/drawing/2014/main" xmlns="" id="{E0639D78-D2E0-09D2-CE9F-B28C236EEEFA}"/>
            </a:ext>
          </a:extLst>
        </cdr:cNvPr>
        <cdr:cNvSpPr txBox="1"/>
      </cdr:nvSpPr>
      <cdr:spPr>
        <a:xfrm xmlns:a="http://schemas.openxmlformats.org/drawingml/2006/main">
          <a:off x="184150" y="107949"/>
          <a:ext cx="4648231" cy="73503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zh-CN" altLang="zh-CN" sz="1800" b="1">
              <a:solidFill>
                <a:schemeClr val="bg1">
                  <a:lumMod val="95000"/>
                </a:schemeClr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上半年各月商品销量同比去年情况</a:t>
          </a:r>
        </a:p>
        <a:p xmlns:a="http://schemas.openxmlformats.org/drawingml/2006/main">
          <a:r>
            <a:rPr lang="en-US" altLang="zh-CN" sz="1200">
              <a:solidFill>
                <a:schemeClr val="bg1">
                  <a:lumMod val="95000"/>
                </a:schemeClr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2022</a:t>
          </a:r>
          <a:r>
            <a:rPr lang="zh-CN" altLang="zh-CN" sz="1200">
              <a:solidFill>
                <a:schemeClr val="bg1">
                  <a:lumMod val="95000"/>
                </a:schemeClr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年相比于</a:t>
          </a:r>
          <a:r>
            <a:rPr lang="en-US" altLang="zh-CN" sz="1200">
              <a:solidFill>
                <a:schemeClr val="bg1">
                  <a:lumMod val="95000"/>
                </a:schemeClr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2021</a:t>
          </a:r>
          <a:r>
            <a:rPr lang="zh-CN" altLang="zh-CN" sz="1200">
              <a:solidFill>
                <a:schemeClr val="bg1">
                  <a:lumMod val="95000"/>
                </a:schemeClr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年销量都有提升，半年整体提升</a:t>
          </a:r>
          <a:r>
            <a:rPr lang="en-US" altLang="zh-CN" sz="1200">
              <a:solidFill>
                <a:schemeClr val="bg1">
                  <a:lumMod val="95000"/>
                </a:schemeClr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17%</a:t>
          </a:r>
        </a:p>
        <a:p xmlns:a="http://schemas.openxmlformats.org/drawingml/2006/main">
          <a:endParaRPr lang="zh-CN" altLang="en-US" sz="1800">
            <a:solidFill>
              <a:schemeClr val="bg1">
                <a:lumMod val="95000"/>
              </a:schemeClr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  <cdr:relSizeAnchor xmlns:cdr="http://schemas.openxmlformats.org/drawingml/2006/chartDrawing">
    <cdr:from>
      <cdr:x>0.82966</cdr:x>
      <cdr:y>0.73178</cdr:y>
    </cdr:from>
    <cdr:to>
      <cdr:x>0.91422</cdr:x>
      <cdr:y>0.77846</cdr:y>
    </cdr:to>
    <cdr:sp macro="" textlink="">
      <cdr:nvSpPr>
        <cdr:cNvPr id="5" name="文本框 1">
          <a:extLst xmlns:a="http://schemas.openxmlformats.org/drawingml/2006/main">
            <a:ext uri="{FF2B5EF4-FFF2-40B4-BE49-F238E27FC236}">
              <a16:creationId xmlns:a16="http://schemas.microsoft.com/office/drawing/2014/main" xmlns="" id="{729DDB78-F04A-3F9B-6C3C-8F86A94C11E7}"/>
            </a:ext>
          </a:extLst>
        </cdr:cNvPr>
        <cdr:cNvSpPr txBox="1"/>
      </cdr:nvSpPr>
      <cdr:spPr>
        <a:xfrm xmlns:a="http://schemas.openxmlformats.org/drawingml/2006/main">
          <a:off x="4298950" y="2836861"/>
          <a:ext cx="438151" cy="180976"/>
        </a:xfrm>
        <a:prstGeom xmlns:a="http://schemas.openxmlformats.org/drawingml/2006/main" prst="rect">
          <a:avLst/>
        </a:prstGeom>
        <a:solidFill xmlns:a="http://schemas.openxmlformats.org/drawingml/2006/main">
          <a:srgbClr val="1A1E43"/>
        </a:solidFill>
        <a:ln xmlns:a="http://schemas.openxmlformats.org/drawingml/2006/main">
          <a:solidFill>
            <a:srgbClr val="E74E69"/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altLang="zh-CN" sz="900">
              <a:solidFill>
                <a:schemeClr val="bg1">
                  <a:lumMod val="95000"/>
                </a:schemeClr>
              </a:solidFill>
            </a:rPr>
            <a:t>2021</a:t>
          </a:r>
          <a:endParaRPr lang="zh-CN" altLang="en-US" sz="900">
            <a:solidFill>
              <a:schemeClr val="bg1">
                <a:lumMod val="95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0.8269</cdr:x>
      <cdr:y>0.66175</cdr:y>
    </cdr:from>
    <cdr:to>
      <cdr:x>0.91146</cdr:x>
      <cdr:y>0.70844</cdr:y>
    </cdr:to>
    <cdr:sp macro="" textlink="">
      <cdr:nvSpPr>
        <cdr:cNvPr id="6" name="文本框 1">
          <a:extLst xmlns:a="http://schemas.openxmlformats.org/drawingml/2006/main">
            <a:ext uri="{FF2B5EF4-FFF2-40B4-BE49-F238E27FC236}">
              <a16:creationId xmlns:a16="http://schemas.microsoft.com/office/drawing/2014/main" xmlns="" id="{92A25CC9-1CBC-3AA4-AEE9-7785DBB1BC99}"/>
            </a:ext>
          </a:extLst>
        </cdr:cNvPr>
        <cdr:cNvSpPr txBox="1"/>
      </cdr:nvSpPr>
      <cdr:spPr>
        <a:xfrm xmlns:a="http://schemas.openxmlformats.org/drawingml/2006/main">
          <a:off x="4284662" y="2565400"/>
          <a:ext cx="438151" cy="180976"/>
        </a:xfrm>
        <a:prstGeom xmlns:a="http://schemas.openxmlformats.org/drawingml/2006/main" prst="rect">
          <a:avLst/>
        </a:prstGeom>
        <a:solidFill xmlns:a="http://schemas.openxmlformats.org/drawingml/2006/main">
          <a:srgbClr val="1A1E43"/>
        </a:solidFill>
        <a:ln xmlns:a="http://schemas.openxmlformats.org/drawingml/2006/main">
          <a:solidFill>
            <a:srgbClr val="0070C0"/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altLang="zh-CN" sz="900">
              <a:solidFill>
                <a:schemeClr val="bg1">
                  <a:lumMod val="95000"/>
                </a:schemeClr>
              </a:solidFill>
            </a:rPr>
            <a:t>2022</a:t>
          </a:r>
          <a:endParaRPr lang="zh-CN" altLang="en-US" sz="900">
            <a:solidFill>
              <a:schemeClr val="bg1">
                <a:lumMod val="95000"/>
              </a:schemeClr>
            </a:solidFill>
          </a:endParaRPr>
        </a:p>
      </cdr:txBody>
    </cdr:sp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452438</xdr:colOff>
      <xdr:row>6</xdr:row>
      <xdr:rowOff>76200</xdr:rowOff>
    </xdr:from>
    <xdr:to>
      <xdr:col>8</xdr:col>
      <xdr:colOff>252413</xdr:colOff>
      <xdr:row>8</xdr:row>
      <xdr:rowOff>138112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xmlns="" id="{1D233FF1-2B08-4FD4-AB64-44100C975BB8}"/>
            </a:ext>
          </a:extLst>
        </xdr:cNvPr>
        <xdr:cNvSpPr txBox="1"/>
      </xdr:nvSpPr>
      <xdr:spPr>
        <a:xfrm>
          <a:off x="5634038" y="1133475"/>
          <a:ext cx="2390775" cy="4143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zh-CN" altLang="en-US" sz="1100"/>
        </a:p>
      </xdr:txBody>
    </xdr:sp>
    <xdr:clientData/>
  </xdr:twoCellAnchor>
  <xdr:twoCellAnchor>
    <xdr:from>
      <xdr:col>5</xdr:col>
      <xdr:colOff>0</xdr:colOff>
      <xdr:row>1</xdr:row>
      <xdr:rowOff>0</xdr:rowOff>
    </xdr:from>
    <xdr:to>
      <xdr:col>13</xdr:col>
      <xdr:colOff>76200</xdr:colOff>
      <xdr:row>22</xdr:row>
      <xdr:rowOff>3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xmlns="" id="{0B6D0392-159B-6073-6605-09148B6178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0.05042</cdr:x>
      <cdr:y>0.03175</cdr:y>
    </cdr:from>
    <cdr:to>
      <cdr:x>0.93449</cdr:x>
      <cdr:y>0.23039</cdr:y>
    </cdr:to>
    <cdr:sp macro="" textlink="">
      <cdr:nvSpPr>
        <cdr:cNvPr id="2" name="文本框 11">
          <a:extLst xmlns:a="http://schemas.openxmlformats.org/drawingml/2006/main">
            <a:ext uri="{FF2B5EF4-FFF2-40B4-BE49-F238E27FC236}">
              <a16:creationId xmlns:a16="http://schemas.microsoft.com/office/drawing/2014/main" xmlns="" id="{BE9F7B54-738B-23C4-82E2-6F242ED924CA}"/>
            </a:ext>
          </a:extLst>
        </cdr:cNvPr>
        <cdr:cNvSpPr txBox="1"/>
      </cdr:nvSpPr>
      <cdr:spPr>
        <a:xfrm xmlns:a="http://schemas.openxmlformats.org/drawingml/2006/main">
          <a:off x="265113" y="117475"/>
          <a:ext cx="4648257" cy="73506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18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2021</a:t>
          </a:r>
          <a:r>
            <a:rPr lang="zh-CN" altLang="en-US" sz="18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年各月化妆品销量走势</a:t>
          </a:r>
          <a:endParaRPr lang="en-US" altLang="zh-CN" sz="1800" b="1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 xmlns:a="http://schemas.openxmlformats.org/drawingml/2006/main">
          <a:r>
            <a:rPr lang="en-US" altLang="zh-CN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2021</a:t>
          </a:r>
          <a:r>
            <a:rPr lang="zh-CN" altLang="en-US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年第三季度销量最多</a:t>
          </a:r>
          <a:r>
            <a:rPr lang="en-US" altLang="zh-CN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9673</a:t>
          </a:r>
          <a:r>
            <a:rPr lang="zh-CN" altLang="en-US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，</a:t>
          </a:r>
          <a:r>
            <a:rPr lang="en-US" altLang="zh-CN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9</a:t>
          </a:r>
          <a:r>
            <a:rPr lang="zh-CN" altLang="en-US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月单月销量最大</a:t>
          </a:r>
          <a:r>
            <a:rPr lang="en-US" altLang="zh-CN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3621</a:t>
          </a:r>
          <a:endParaRPr lang="zh-CN" altLang="en-US" sz="1100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  <cdr:relSizeAnchor xmlns:cdr="http://schemas.openxmlformats.org/drawingml/2006/chartDrawing">
    <cdr:from>
      <cdr:x>0.03955</cdr:x>
      <cdr:y>0.9172</cdr:y>
    </cdr:from>
    <cdr:to>
      <cdr:x>0.82941</cdr:x>
      <cdr:y>0.98541</cdr:y>
    </cdr:to>
    <cdr:sp macro="" textlink="">
      <cdr:nvSpPr>
        <cdr:cNvPr id="3" name="文本框 12">
          <a:extLst xmlns:a="http://schemas.openxmlformats.org/drawingml/2006/main">
            <a:ext uri="{FF2B5EF4-FFF2-40B4-BE49-F238E27FC236}">
              <a16:creationId xmlns:a16="http://schemas.microsoft.com/office/drawing/2014/main" xmlns="" id="{BDC03333-A209-9F1D-B042-1B30FF694535}"/>
            </a:ext>
          </a:extLst>
        </cdr:cNvPr>
        <cdr:cNvSpPr txBox="1"/>
      </cdr:nvSpPr>
      <cdr:spPr>
        <a:xfrm xmlns:a="http://schemas.openxmlformats.org/drawingml/2006/main">
          <a:off x="207962" y="3394075"/>
          <a:ext cx="4152896" cy="25240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*</a:t>
          </a:r>
          <a:r>
            <a:rPr lang="zh-CN" altLang="en-US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注：数据来源于公司销售系统，统计日期截至</a:t>
          </a:r>
          <a:r>
            <a:rPr lang="en-US" altLang="zh-CN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2021.12.31</a:t>
          </a:r>
          <a:endParaRPr lang="zh-CN" altLang="en-US" sz="800">
            <a:solidFill>
              <a:schemeClr val="bg1">
                <a:lumMod val="85000"/>
              </a:schemeClr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</c:userShapes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14</xdr:col>
      <xdr:colOff>76200</xdr:colOff>
      <xdr:row>22</xdr:row>
      <xdr:rowOff>2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xmlns="" id="{76DCEE5B-E56D-F703-E5FB-0051442133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0.05767</cdr:x>
      <cdr:y>0.02371</cdr:y>
    </cdr:from>
    <cdr:to>
      <cdr:x>0.94174</cdr:x>
      <cdr:y>0.24326</cdr:y>
    </cdr:to>
    <cdr:sp macro="" textlink="">
      <cdr:nvSpPr>
        <cdr:cNvPr id="2" name="文本框 11">
          <a:extLst xmlns:a="http://schemas.openxmlformats.org/drawingml/2006/main">
            <a:ext uri="{FF2B5EF4-FFF2-40B4-BE49-F238E27FC236}">
              <a16:creationId xmlns:a16="http://schemas.microsoft.com/office/drawing/2014/main" xmlns="" id="{5B739092-582A-7177-6AC0-393E08D26B18}"/>
            </a:ext>
          </a:extLst>
        </cdr:cNvPr>
        <cdr:cNvSpPr txBox="1"/>
      </cdr:nvSpPr>
      <cdr:spPr>
        <a:xfrm xmlns:a="http://schemas.openxmlformats.org/drawingml/2006/main">
          <a:off x="303212" y="79375"/>
          <a:ext cx="4648264" cy="73506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18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2022</a:t>
          </a:r>
          <a:r>
            <a:rPr lang="zh-CN" altLang="en-US" sz="18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年上半年产品销量目标达成率情况</a:t>
          </a:r>
          <a:endParaRPr lang="en-US" altLang="zh-CN" sz="1800" b="1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 xmlns:a="http://schemas.openxmlformats.org/drawingml/2006/main">
          <a:r>
            <a:rPr lang="zh-CN" altLang="en-US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华南完成率最高达到</a:t>
          </a:r>
          <a:r>
            <a:rPr lang="en-US" altLang="zh-CN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86%</a:t>
          </a:r>
          <a:r>
            <a:rPr lang="zh-CN" altLang="en-US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，华东最低</a:t>
          </a:r>
          <a:r>
            <a:rPr lang="en-US" altLang="zh-CN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35%</a:t>
          </a:r>
          <a:endParaRPr lang="zh-CN" altLang="en-US" sz="1100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  <cdr:relSizeAnchor xmlns:cdr="http://schemas.openxmlformats.org/drawingml/2006/chartDrawing">
    <cdr:from>
      <cdr:x>0.05858</cdr:x>
      <cdr:y>0.90564</cdr:y>
    </cdr:from>
    <cdr:to>
      <cdr:x>0.84844</cdr:x>
      <cdr:y>0.98103</cdr:y>
    </cdr:to>
    <cdr:sp macro="" textlink="">
      <cdr:nvSpPr>
        <cdr:cNvPr id="3" name="文本框 12">
          <a:extLst xmlns:a="http://schemas.openxmlformats.org/drawingml/2006/main">
            <a:ext uri="{FF2B5EF4-FFF2-40B4-BE49-F238E27FC236}">
              <a16:creationId xmlns:a16="http://schemas.microsoft.com/office/drawing/2014/main" xmlns="" id="{61FB242C-60DE-2E96-F69F-989D51E80B83}"/>
            </a:ext>
          </a:extLst>
        </cdr:cNvPr>
        <cdr:cNvSpPr txBox="1"/>
      </cdr:nvSpPr>
      <cdr:spPr>
        <a:xfrm xmlns:a="http://schemas.openxmlformats.org/drawingml/2006/main">
          <a:off x="307976" y="3351295"/>
          <a:ext cx="4152926" cy="2789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*</a:t>
          </a:r>
          <a:r>
            <a:rPr lang="zh-CN" altLang="en-US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注：数据来源于公司销售系统，统计日期截至</a:t>
          </a:r>
          <a:r>
            <a:rPr lang="en-US" altLang="zh-CN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2022.06.30</a:t>
          </a:r>
          <a:endParaRPr lang="zh-CN" altLang="en-US" sz="800">
            <a:solidFill>
              <a:schemeClr val="bg1">
                <a:lumMod val="85000"/>
              </a:schemeClr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</c:userShapes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638175</xdr:colOff>
      <xdr:row>0</xdr:row>
      <xdr:rowOff>157162</xdr:rowOff>
    </xdr:from>
    <xdr:to>
      <xdr:col>14</xdr:col>
      <xdr:colOff>638175</xdr:colOff>
      <xdr:row>21</xdr:row>
      <xdr:rowOff>157162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xmlns="" id="{F22BEF5E-49C5-713B-058A-7F5B8197BA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c:userShapes xmlns:c="http://schemas.openxmlformats.org/drawingml/2006/chart">
  <cdr:relSizeAnchor xmlns:cdr="http://schemas.openxmlformats.org/drawingml/2006/chartDrawing">
    <cdr:from>
      <cdr:x>0.053</cdr:x>
      <cdr:y>0.03432</cdr:y>
    </cdr:from>
    <cdr:to>
      <cdr:x>0.95007</cdr:x>
      <cdr:y>0.25387</cdr:y>
    </cdr:to>
    <cdr:sp macro="" textlink="">
      <cdr:nvSpPr>
        <cdr:cNvPr id="2" name="文本框 11">
          <a:extLst xmlns:a="http://schemas.openxmlformats.org/drawingml/2006/main">
            <a:ext uri="{FF2B5EF4-FFF2-40B4-BE49-F238E27FC236}">
              <a16:creationId xmlns:a16="http://schemas.microsoft.com/office/drawing/2014/main" xmlns="" id="{FF2EEAE9-21E4-C32E-9FEB-09855F683FC2}"/>
            </a:ext>
          </a:extLst>
        </cdr:cNvPr>
        <cdr:cNvSpPr txBox="1"/>
      </cdr:nvSpPr>
      <cdr:spPr>
        <a:xfrm xmlns:a="http://schemas.openxmlformats.org/drawingml/2006/main">
          <a:off x="274631" y="127000"/>
          <a:ext cx="4648258" cy="8124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18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2022</a:t>
          </a:r>
          <a:r>
            <a:rPr lang="zh-CN" altLang="en-US" sz="18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年上半年销量目标达成率同比去年情况</a:t>
          </a:r>
          <a:endParaRPr lang="en-US" altLang="zh-CN" sz="1800" b="1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 xmlns:a="http://schemas.openxmlformats.org/drawingml/2006/main">
          <a:r>
            <a:rPr lang="zh-CN" altLang="en-US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华南完成率最高达到</a:t>
          </a:r>
          <a:r>
            <a:rPr lang="en-US" altLang="zh-CN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86%</a:t>
          </a:r>
          <a:r>
            <a:rPr lang="zh-CN" altLang="en-US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，华东最低</a:t>
          </a:r>
          <a:r>
            <a:rPr lang="en-US" altLang="zh-CN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35%</a:t>
          </a:r>
          <a:r>
            <a:rPr lang="zh-CN" altLang="en-US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，其中华南和华东不及</a:t>
          </a:r>
          <a:r>
            <a:rPr lang="en-US" altLang="zh-CN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2021</a:t>
          </a:r>
          <a:r>
            <a:rPr lang="zh-CN" altLang="en-US" sz="110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年</a:t>
          </a:r>
        </a:p>
      </cdr:txBody>
    </cdr:sp>
  </cdr:relSizeAnchor>
  <cdr:relSizeAnchor xmlns:cdr="http://schemas.openxmlformats.org/drawingml/2006/chartDrawing">
    <cdr:from>
      <cdr:x>0.06495</cdr:x>
      <cdr:y>0.90819</cdr:y>
    </cdr:from>
    <cdr:to>
      <cdr:x>0.86643</cdr:x>
      <cdr:y>0.98358</cdr:y>
    </cdr:to>
    <cdr:sp macro="" textlink="">
      <cdr:nvSpPr>
        <cdr:cNvPr id="3" name="文本框 12">
          <a:extLst xmlns:a="http://schemas.openxmlformats.org/drawingml/2006/main">
            <a:ext uri="{FF2B5EF4-FFF2-40B4-BE49-F238E27FC236}">
              <a16:creationId xmlns:a16="http://schemas.microsoft.com/office/drawing/2014/main" xmlns="" id="{E7C35143-B912-5AE4-AF90-068520E802FE}"/>
            </a:ext>
          </a:extLst>
        </cdr:cNvPr>
        <cdr:cNvSpPr txBox="1"/>
      </cdr:nvSpPr>
      <cdr:spPr>
        <a:xfrm xmlns:a="http://schemas.openxmlformats.org/drawingml/2006/main">
          <a:off x="336539" y="3360723"/>
          <a:ext cx="4152949" cy="2789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*</a:t>
          </a:r>
          <a:r>
            <a:rPr lang="zh-CN" altLang="en-US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注：数据来源于公司销售系统，统计日期截至</a:t>
          </a:r>
          <a:r>
            <a:rPr lang="en-US" altLang="zh-CN" sz="800">
              <a:solidFill>
                <a:schemeClr val="bg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2022.06.30</a:t>
          </a:r>
          <a:endParaRPr lang="zh-CN" altLang="en-US" sz="800">
            <a:solidFill>
              <a:schemeClr val="bg1">
                <a:lumMod val="85000"/>
              </a:schemeClr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  <cdr:relSizeAnchor xmlns:cdr="http://schemas.openxmlformats.org/drawingml/2006/chartDrawing">
    <cdr:from>
      <cdr:x>0.10539</cdr:x>
      <cdr:y>0.22994</cdr:y>
    </cdr:from>
    <cdr:to>
      <cdr:x>0.43076</cdr:x>
      <cdr:y>0.29944</cdr:y>
    </cdr:to>
    <cdr:sp macro="" textlink="">
      <cdr:nvSpPr>
        <cdr:cNvPr id="4" name="文本框 12">
          <a:extLst xmlns:a="http://schemas.openxmlformats.org/drawingml/2006/main">
            <a:ext uri="{FF2B5EF4-FFF2-40B4-BE49-F238E27FC236}">
              <a16:creationId xmlns:a16="http://schemas.microsoft.com/office/drawing/2014/main" xmlns="" id="{6A0A07AD-6936-8007-09C2-5936463F7962}"/>
            </a:ext>
          </a:extLst>
        </cdr:cNvPr>
        <cdr:cNvSpPr txBox="1"/>
      </cdr:nvSpPr>
      <cdr:spPr>
        <a:xfrm xmlns:a="http://schemas.openxmlformats.org/drawingml/2006/main">
          <a:off x="546080" y="850896"/>
          <a:ext cx="1685937" cy="2571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800">
              <a:solidFill>
                <a:schemeClr val="bg1">
                  <a:lumMod val="95000"/>
                </a:schemeClr>
              </a:solidFill>
            </a:rPr>
            <a:t>2022</a:t>
          </a:r>
          <a:r>
            <a:rPr lang="zh-CN" altLang="en-US" sz="800">
              <a:solidFill>
                <a:schemeClr val="bg1">
                  <a:lumMod val="95000"/>
                </a:schemeClr>
              </a:solidFill>
            </a:rPr>
            <a:t>完成率            </a:t>
          </a:r>
          <a:r>
            <a:rPr lang="en-US" altLang="zh-CN" sz="800">
              <a:solidFill>
                <a:schemeClr val="bg1">
                  <a:lumMod val="95000"/>
                </a:schemeClr>
              </a:solidFill>
            </a:rPr>
            <a:t>2021</a:t>
          </a:r>
          <a:r>
            <a:rPr lang="zh-CN" altLang="en-US" sz="800">
              <a:solidFill>
                <a:schemeClr val="bg1">
                  <a:lumMod val="95000"/>
                </a:schemeClr>
              </a:solidFill>
            </a:rPr>
            <a:t>完率</a:t>
          </a:r>
        </a:p>
      </cdr:txBody>
    </cdr:sp>
  </cdr:relSizeAnchor>
  <cdr:relSizeAnchor xmlns:cdr="http://schemas.openxmlformats.org/drawingml/2006/chartDrawing">
    <cdr:from>
      <cdr:x>0.08242</cdr:x>
      <cdr:y>0.24711</cdr:y>
    </cdr:from>
    <cdr:to>
      <cdr:x>0.10326</cdr:x>
      <cdr:y>0.27629</cdr:y>
    </cdr:to>
    <cdr:sp macro="" textlink="">
      <cdr:nvSpPr>
        <cdr:cNvPr id="5" name="椭圆 4">
          <a:extLst xmlns:a="http://schemas.openxmlformats.org/drawingml/2006/main">
            <a:ext uri="{FF2B5EF4-FFF2-40B4-BE49-F238E27FC236}">
              <a16:creationId xmlns:a16="http://schemas.microsoft.com/office/drawing/2014/main" xmlns="" id="{3EF843BC-F514-FFE9-A422-959AC58B14CC}"/>
            </a:ext>
          </a:extLst>
        </cdr:cNvPr>
        <cdr:cNvSpPr/>
      </cdr:nvSpPr>
      <cdr:spPr>
        <a:xfrm xmlns:a="http://schemas.openxmlformats.org/drawingml/2006/main">
          <a:off x="427043" y="914410"/>
          <a:ext cx="107985" cy="107979"/>
        </a:xfrm>
        <a:prstGeom xmlns:a="http://schemas.openxmlformats.org/drawingml/2006/main" prst="ellipse">
          <a:avLst/>
        </a:prstGeom>
        <a:solidFill xmlns:a="http://schemas.openxmlformats.org/drawingml/2006/main">
          <a:srgbClr val="0070C0"/>
        </a:solidFill>
        <a:ln xmlns:a="http://schemas.openxmlformats.org/drawingml/2006/main">
          <a:solidFill>
            <a:schemeClr val="bg1">
              <a:lumMod val="95000"/>
            </a:schemeClr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zh-CN"/>
        </a:p>
      </cdr:txBody>
    </cdr:sp>
  </cdr:relSizeAnchor>
  <cdr:relSizeAnchor xmlns:cdr="http://schemas.openxmlformats.org/drawingml/2006/chartDrawing">
    <cdr:from>
      <cdr:x>0.23836</cdr:x>
      <cdr:y>0.24796</cdr:y>
    </cdr:from>
    <cdr:to>
      <cdr:x>0.2592</cdr:x>
      <cdr:y>0.27714</cdr:y>
    </cdr:to>
    <cdr:sp macro="" textlink="">
      <cdr:nvSpPr>
        <cdr:cNvPr id="6" name="椭圆 5">
          <a:extLst xmlns:a="http://schemas.openxmlformats.org/drawingml/2006/main">
            <a:ext uri="{FF2B5EF4-FFF2-40B4-BE49-F238E27FC236}">
              <a16:creationId xmlns:a16="http://schemas.microsoft.com/office/drawing/2014/main" xmlns="" id="{9CF581F0-C1E9-4086-E1C7-CCB0B3852E8F}"/>
            </a:ext>
          </a:extLst>
        </cdr:cNvPr>
        <cdr:cNvSpPr/>
      </cdr:nvSpPr>
      <cdr:spPr>
        <a:xfrm xmlns:a="http://schemas.openxmlformats.org/drawingml/2006/main">
          <a:off x="1235072" y="917582"/>
          <a:ext cx="107985" cy="107979"/>
        </a:xfrm>
        <a:prstGeom xmlns:a="http://schemas.openxmlformats.org/drawingml/2006/main" prst="ellipse">
          <a:avLst/>
        </a:prstGeom>
        <a:solidFill xmlns:a="http://schemas.openxmlformats.org/drawingml/2006/main">
          <a:schemeClr val="bg1">
            <a:lumMod val="65000"/>
          </a:schemeClr>
        </a:solidFill>
        <a:ln xmlns:a="http://schemas.openxmlformats.org/drawingml/2006/main">
          <a:solidFill>
            <a:schemeClr val="bg1">
              <a:lumMod val="95000"/>
            </a:schemeClr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zh-CN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elvs-my.sharepoint.com/personal/b3537_sky365_top/Documents/&#26700;&#38754;/Excel&#21160;&#24577;&#22270;&#34920;&#31995;&#21015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动态带平均值"/>
      <sheetName val="动态滑珠图 (2)"/>
      <sheetName val="动态前N名 (2)"/>
      <sheetName val="两个维度动态图表"/>
      <sheetName val="COUNTIFS"/>
      <sheetName val="高级动态图表"/>
      <sheetName val="动态前N名"/>
      <sheetName val="自动排序"/>
      <sheetName val="选择线条"/>
      <sheetName val="动态文本"/>
      <sheetName val="Sheet1"/>
      <sheetName val="动态滑珠图"/>
    </sheetNames>
    <sheetDataSet>
      <sheetData sheetId="0" refreshError="1"/>
      <sheetData sheetId="1" refreshError="1"/>
      <sheetData sheetId="2">
        <row r="2">
          <cell r="C2" t="str">
            <v>销量</v>
          </cell>
        </row>
        <row r="5">
          <cell r="E5">
            <v>24</v>
          </cell>
        </row>
      </sheetData>
      <sheetData sheetId="3" refreshError="1"/>
      <sheetData sheetId="4" refreshError="1"/>
      <sheetData sheetId="5" refreshError="1"/>
      <sheetData sheetId="6">
        <row r="2">
          <cell r="G2" t="str">
            <v>销量</v>
          </cell>
        </row>
        <row r="10">
          <cell r="D10">
            <v>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>
        <row r="20">
          <cell r="C20" t="str">
            <v>完成率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B2:O23"/>
  <sheetViews>
    <sheetView workbookViewId="0">
      <selection activeCell="C22" sqref="C22"/>
    </sheetView>
  </sheetViews>
  <sheetFormatPr defaultRowHeight="13.5"/>
  <sheetData>
    <row r="2" spans="2:15">
      <c r="F2" s="11"/>
      <c r="G2" s="11"/>
      <c r="H2" s="11"/>
      <c r="I2" s="11"/>
      <c r="J2" s="11"/>
      <c r="K2" s="11"/>
      <c r="L2" s="11"/>
      <c r="M2" s="11"/>
      <c r="N2" s="13"/>
      <c r="O2" s="13"/>
    </row>
    <row r="3" spans="2:15" ht="14.25">
      <c r="B3" s="15" t="s">
        <v>63</v>
      </c>
      <c r="C3" s="15" t="s">
        <v>9</v>
      </c>
      <c r="F3" s="11"/>
      <c r="G3" s="11"/>
      <c r="H3" s="11"/>
      <c r="I3" s="11"/>
      <c r="J3" s="11"/>
      <c r="K3" s="11"/>
      <c r="L3" s="11"/>
      <c r="M3" s="12"/>
      <c r="N3" s="1"/>
      <c r="O3" s="1"/>
    </row>
    <row r="4" spans="2:15" ht="15.75">
      <c r="B4" s="14">
        <v>0.65</v>
      </c>
      <c r="C4" s="14">
        <v>1</v>
      </c>
      <c r="F4" s="11"/>
      <c r="G4" s="11"/>
      <c r="H4" s="11"/>
      <c r="I4" s="11"/>
      <c r="J4" s="11"/>
      <c r="K4" s="11"/>
      <c r="L4" s="11"/>
      <c r="M4" s="11"/>
    </row>
    <row r="5" spans="2:15">
      <c r="F5" s="11"/>
      <c r="G5" s="11"/>
      <c r="H5" s="11"/>
      <c r="I5" s="11"/>
      <c r="J5" s="11"/>
      <c r="K5" s="11"/>
      <c r="L5" s="11"/>
      <c r="M5" s="11"/>
    </row>
    <row r="6" spans="2:15">
      <c r="F6" s="11"/>
      <c r="G6" s="11"/>
      <c r="H6" s="11"/>
      <c r="I6" s="11"/>
      <c r="J6" s="11"/>
      <c r="K6" s="11"/>
      <c r="L6" s="11"/>
      <c r="M6" s="11"/>
    </row>
    <row r="7" spans="2:15">
      <c r="F7" s="11"/>
      <c r="G7" s="11"/>
      <c r="H7" s="11"/>
      <c r="I7" s="11"/>
      <c r="J7" s="11"/>
      <c r="K7" s="11"/>
      <c r="L7" s="11"/>
      <c r="M7" s="11"/>
    </row>
    <row r="8" spans="2:15">
      <c r="F8" s="11"/>
      <c r="G8" s="11"/>
      <c r="H8" s="11"/>
      <c r="I8" s="11"/>
      <c r="J8" s="11"/>
      <c r="K8" s="11"/>
      <c r="L8" s="11"/>
      <c r="M8" s="11"/>
    </row>
    <row r="9" spans="2:15">
      <c r="F9" s="11"/>
      <c r="G9" s="11"/>
      <c r="H9" s="11"/>
      <c r="I9" s="11"/>
      <c r="J9" s="11"/>
      <c r="K9" s="11"/>
      <c r="L9" s="11"/>
      <c r="M9" s="11"/>
    </row>
    <row r="10" spans="2:15">
      <c r="F10" s="11"/>
      <c r="G10" s="11"/>
      <c r="H10" s="11"/>
      <c r="I10" s="11"/>
      <c r="J10" s="11"/>
      <c r="K10" s="11"/>
      <c r="L10" s="11"/>
      <c r="M10" s="11"/>
    </row>
    <row r="11" spans="2:15">
      <c r="F11" s="11"/>
      <c r="G11" s="11"/>
      <c r="H11" s="11"/>
      <c r="I11" s="11"/>
      <c r="J11" s="11"/>
      <c r="K11" s="11"/>
      <c r="L11" s="11"/>
      <c r="M11" s="11"/>
    </row>
    <row r="12" spans="2:15">
      <c r="F12" s="11"/>
      <c r="G12" s="11"/>
      <c r="H12" s="11"/>
      <c r="I12" s="11"/>
      <c r="J12" s="11"/>
      <c r="K12" s="11"/>
      <c r="L12" s="11"/>
      <c r="M12" s="11"/>
    </row>
    <row r="13" spans="2:15">
      <c r="F13" s="11"/>
      <c r="G13" s="11"/>
      <c r="H13" s="11"/>
      <c r="I13" s="11"/>
      <c r="J13" s="11"/>
      <c r="K13" s="11"/>
      <c r="L13" s="11"/>
      <c r="M13" s="11"/>
    </row>
    <row r="14" spans="2:15">
      <c r="F14" s="11"/>
      <c r="G14" s="11"/>
      <c r="H14" s="11"/>
      <c r="I14" s="11"/>
      <c r="J14" s="11"/>
      <c r="K14" s="11"/>
      <c r="L14" s="11"/>
      <c r="M14" s="11"/>
    </row>
    <row r="15" spans="2:15">
      <c r="F15" s="11"/>
      <c r="G15" s="11"/>
      <c r="H15" s="11"/>
      <c r="I15" s="11"/>
      <c r="J15" s="11"/>
      <c r="K15" s="11"/>
      <c r="L15" s="11"/>
      <c r="M15" s="11"/>
    </row>
    <row r="16" spans="2:15">
      <c r="F16" s="11"/>
      <c r="G16" s="11"/>
      <c r="H16" s="11"/>
      <c r="I16" s="11"/>
      <c r="J16" s="11"/>
      <c r="K16" s="11"/>
      <c r="L16" s="11"/>
      <c r="M16" s="11"/>
    </row>
    <row r="17" spans="6:13">
      <c r="F17" s="11"/>
      <c r="G17" s="11"/>
      <c r="H17" s="11"/>
      <c r="I17" s="11"/>
      <c r="J17" s="11"/>
      <c r="K17" s="11"/>
      <c r="L17" s="11"/>
      <c r="M17" s="11"/>
    </row>
    <row r="18" spans="6:13">
      <c r="F18" s="11"/>
      <c r="G18" s="11"/>
      <c r="H18" s="11"/>
      <c r="I18" s="11"/>
      <c r="J18" s="11"/>
      <c r="K18" s="11"/>
      <c r="L18" s="11"/>
      <c r="M18" s="11"/>
    </row>
    <row r="19" spans="6:13">
      <c r="F19" s="11"/>
      <c r="G19" s="11"/>
      <c r="H19" s="11"/>
      <c r="I19" s="11"/>
      <c r="J19" s="11"/>
      <c r="K19" s="11"/>
      <c r="L19" s="11"/>
      <c r="M19" s="11"/>
    </row>
    <row r="20" spans="6:13">
      <c r="F20" s="11"/>
      <c r="G20" s="11"/>
      <c r="H20" s="11"/>
      <c r="I20" s="11"/>
      <c r="J20" s="11"/>
      <c r="K20" s="11"/>
      <c r="L20" s="11"/>
      <c r="M20" s="11"/>
    </row>
    <row r="21" spans="6:13">
      <c r="F21" s="11"/>
      <c r="G21" s="11"/>
      <c r="H21" s="11"/>
      <c r="I21" s="11"/>
      <c r="J21" s="11"/>
      <c r="K21" s="11"/>
      <c r="L21" s="11"/>
      <c r="M21" s="11"/>
    </row>
    <row r="22" spans="6:13">
      <c r="F22" s="11"/>
      <c r="G22" s="11"/>
      <c r="H22" s="11"/>
      <c r="I22" s="11"/>
      <c r="J22" s="11"/>
      <c r="K22" s="11"/>
      <c r="L22" s="11"/>
      <c r="M22" s="11"/>
    </row>
    <row r="23" spans="6:13">
      <c r="F23" s="11"/>
      <c r="G23" s="11"/>
      <c r="H23" s="11"/>
      <c r="I23" s="11"/>
      <c r="J23" s="11"/>
      <c r="K23" s="11"/>
      <c r="L23" s="11"/>
      <c r="M23" s="11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B2:D6"/>
  <sheetViews>
    <sheetView workbookViewId="0">
      <selection activeCell="N33" sqref="N33"/>
    </sheetView>
  </sheetViews>
  <sheetFormatPr defaultRowHeight="13.5"/>
  <sheetData>
    <row r="2" spans="2:4" ht="14.25">
      <c r="B2" s="15" t="s">
        <v>69</v>
      </c>
      <c r="C2" s="15" t="s">
        <v>68</v>
      </c>
      <c r="D2" s="15" t="s">
        <v>9</v>
      </c>
    </row>
    <row r="3" spans="2:4" ht="15.75">
      <c r="B3" s="6" t="s">
        <v>67</v>
      </c>
      <c r="C3" s="17">
        <v>0.125</v>
      </c>
      <c r="D3" s="16">
        <f>$C$3+$C$6-C3</f>
        <v>0.375</v>
      </c>
    </row>
    <row r="4" spans="2:4" ht="15.75">
      <c r="B4" s="6" t="s">
        <v>66</v>
      </c>
      <c r="C4" s="17">
        <v>0.20833333333333334</v>
      </c>
      <c r="D4" s="16">
        <f>$C$3+$C$6-C4</f>
        <v>0.29166666666666663</v>
      </c>
    </row>
    <row r="5" spans="2:4" ht="15.75">
      <c r="B5" s="6" t="s">
        <v>65</v>
      </c>
      <c r="C5" s="17">
        <v>0.29166666666666669</v>
      </c>
      <c r="D5" s="16">
        <f>$C$3+$C$6-C5</f>
        <v>0.20833333333333331</v>
      </c>
    </row>
    <row r="6" spans="2:4" ht="15.75">
      <c r="B6" s="6" t="s">
        <v>64</v>
      </c>
      <c r="C6" s="17">
        <v>0.375</v>
      </c>
      <c r="D6" s="16">
        <f>$C$3+$C$6-C6</f>
        <v>0.125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B2:D8"/>
  <sheetViews>
    <sheetView workbookViewId="0">
      <selection activeCell="B23" sqref="B23"/>
    </sheetView>
  </sheetViews>
  <sheetFormatPr defaultRowHeight="13.5"/>
  <sheetData>
    <row r="2" spans="2:4" ht="14.25">
      <c r="B2" s="15" t="s">
        <v>77</v>
      </c>
      <c r="C2" s="15" t="s">
        <v>76</v>
      </c>
      <c r="D2" s="15" t="s">
        <v>9</v>
      </c>
    </row>
    <row r="3" spans="2:4" ht="15.75">
      <c r="B3" s="6" t="s">
        <v>75</v>
      </c>
      <c r="C3" s="18">
        <v>130</v>
      </c>
      <c r="D3" s="5">
        <f t="shared" ref="D3:D8" si="0">SUM($C$3:$C$8)*0.5-C3</f>
        <v>702</v>
      </c>
    </row>
    <row r="4" spans="2:4" ht="15.75">
      <c r="B4" s="6" t="s">
        <v>74</v>
      </c>
      <c r="C4" s="18">
        <v>226</v>
      </c>
      <c r="D4" s="5">
        <f t="shared" si="0"/>
        <v>606</v>
      </c>
    </row>
    <row r="5" spans="2:4" ht="15.75">
      <c r="B5" s="6" t="s">
        <v>73</v>
      </c>
      <c r="C5" s="18">
        <v>238</v>
      </c>
      <c r="D5" s="5">
        <f t="shared" si="0"/>
        <v>594</v>
      </c>
    </row>
    <row r="6" spans="2:4" ht="15.75">
      <c r="B6" s="6" t="s">
        <v>72</v>
      </c>
      <c r="C6" s="18">
        <v>293</v>
      </c>
      <c r="D6" s="5">
        <f t="shared" si="0"/>
        <v>539</v>
      </c>
    </row>
    <row r="7" spans="2:4" ht="15.75">
      <c r="B7" s="6" t="s">
        <v>71</v>
      </c>
      <c r="C7" s="19">
        <v>326</v>
      </c>
      <c r="D7" s="5">
        <f t="shared" si="0"/>
        <v>506</v>
      </c>
    </row>
    <row r="8" spans="2:4" ht="15.75">
      <c r="B8" s="6" t="s">
        <v>70</v>
      </c>
      <c r="C8" s="18">
        <v>451</v>
      </c>
      <c r="D8" s="5">
        <f t="shared" si="0"/>
        <v>381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/>
  <dimension ref="B2:I8"/>
  <sheetViews>
    <sheetView workbookViewId="0">
      <selection activeCell="G24" sqref="G24"/>
    </sheetView>
  </sheetViews>
  <sheetFormatPr defaultRowHeight="13.5"/>
  <sheetData>
    <row r="2" spans="2:9" ht="14.25">
      <c r="B2" s="15" t="s">
        <v>77</v>
      </c>
      <c r="C2" s="15" t="s">
        <v>82</v>
      </c>
      <c r="D2" s="15" t="s">
        <v>39</v>
      </c>
      <c r="E2" s="15" t="s">
        <v>40</v>
      </c>
      <c r="F2" s="15" t="s">
        <v>81</v>
      </c>
      <c r="G2" s="15" t="s">
        <v>80</v>
      </c>
      <c r="H2" s="15" t="s">
        <v>79</v>
      </c>
      <c r="I2" s="15" t="s">
        <v>78</v>
      </c>
    </row>
    <row r="3" spans="2:9" ht="15.75">
      <c r="B3" s="6" t="s">
        <v>70</v>
      </c>
      <c r="C3" s="17">
        <v>0.29199999999999998</v>
      </c>
      <c r="D3" s="17">
        <v>0.29199999999999998</v>
      </c>
      <c r="E3" s="17">
        <v>0.29199999999999998</v>
      </c>
      <c r="F3" s="17">
        <v>0.29199999999999998</v>
      </c>
      <c r="G3" s="17">
        <v>0.29199999999999998</v>
      </c>
      <c r="H3" s="17">
        <v>0.29199999999999998</v>
      </c>
      <c r="I3" s="17">
        <v>0.29199999999999998</v>
      </c>
    </row>
    <row r="4" spans="2:9" ht="15.75">
      <c r="B4" s="6" t="s">
        <v>71</v>
      </c>
      <c r="C4" s="17">
        <v>0.22700000000000001</v>
      </c>
      <c r="D4" s="17">
        <v>0.22700000000000001</v>
      </c>
      <c r="E4" s="17">
        <v>0.22700000000000001</v>
      </c>
      <c r="F4" s="17">
        <v>0.22700000000000001</v>
      </c>
      <c r="G4" s="17">
        <v>0.22700000000000001</v>
      </c>
      <c r="H4" s="17">
        <v>0.22700000000000001</v>
      </c>
      <c r="I4" s="17">
        <v>0.22700000000000001</v>
      </c>
    </row>
    <row r="5" spans="2:9" ht="15.75">
      <c r="B5" s="6" t="s">
        <v>72</v>
      </c>
      <c r="C5" s="17">
        <v>0.17499999999999999</v>
      </c>
      <c r="D5" s="17">
        <v>0.17499999999999999</v>
      </c>
      <c r="E5" s="17">
        <v>0.17499999999999999</v>
      </c>
      <c r="F5" s="17">
        <v>0.17499999999999999</v>
      </c>
      <c r="G5" s="17">
        <v>0.17499999999999999</v>
      </c>
      <c r="H5" s="17">
        <v>0.17499999999999999</v>
      </c>
      <c r="I5" s="17">
        <v>0.17499999999999999</v>
      </c>
    </row>
    <row r="6" spans="2:9" ht="15.75">
      <c r="B6" s="6" t="s">
        <v>73</v>
      </c>
      <c r="C6" s="17">
        <v>0.13600000000000001</v>
      </c>
      <c r="D6" s="17">
        <v>0.13600000000000001</v>
      </c>
      <c r="E6" s="17">
        <v>0.13600000000000001</v>
      </c>
      <c r="F6" s="17">
        <v>0.13600000000000001</v>
      </c>
      <c r="G6" s="17">
        <v>0.13600000000000001</v>
      </c>
      <c r="H6" s="17">
        <v>0.13600000000000001</v>
      </c>
      <c r="I6" s="17">
        <v>0.13600000000000001</v>
      </c>
    </row>
    <row r="7" spans="2:9" ht="15.75">
      <c r="B7" s="6" t="s">
        <v>74</v>
      </c>
      <c r="C7" s="22">
        <v>0.10299999999999999</v>
      </c>
      <c r="D7" s="22">
        <v>0.10299999999999999</v>
      </c>
      <c r="E7" s="22">
        <v>0.10299999999999999</v>
      </c>
      <c r="F7" s="22">
        <v>0.10299999999999999</v>
      </c>
      <c r="G7" s="22">
        <v>0.10299999999999999</v>
      </c>
      <c r="H7" s="22">
        <v>0.10299999999999999</v>
      </c>
      <c r="I7" s="22">
        <v>0.10299999999999999</v>
      </c>
    </row>
    <row r="8" spans="2:9" ht="15.75">
      <c r="B8" s="6" t="s">
        <v>75</v>
      </c>
      <c r="C8" s="17">
        <v>6.7000000000000004E-2</v>
      </c>
      <c r="D8" s="17">
        <v>6.7000000000000004E-2</v>
      </c>
      <c r="E8" s="17">
        <v>6.7000000000000004E-2</v>
      </c>
      <c r="F8" s="17">
        <v>6.7000000000000004E-2</v>
      </c>
      <c r="G8" s="17">
        <v>6.7000000000000004E-2</v>
      </c>
      <c r="H8" s="17">
        <v>6.7000000000000004E-2</v>
      </c>
      <c r="I8" s="17">
        <v>6.7000000000000004E-2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/>
  <dimension ref="B2:G6"/>
  <sheetViews>
    <sheetView tabSelected="1" workbookViewId="0">
      <selection activeCell="E17" sqref="E17"/>
    </sheetView>
  </sheetViews>
  <sheetFormatPr defaultRowHeight="13.5"/>
  <sheetData>
    <row r="2" spans="2:7" ht="14.25">
      <c r="B2" s="15" t="s">
        <v>69</v>
      </c>
      <c r="C2" s="15" t="s">
        <v>82</v>
      </c>
      <c r="D2" s="15" t="s">
        <v>39</v>
      </c>
      <c r="E2" s="15" t="s">
        <v>40</v>
      </c>
      <c r="F2" s="15" t="s">
        <v>81</v>
      </c>
      <c r="G2" s="15" t="s">
        <v>80</v>
      </c>
    </row>
    <row r="3" spans="2:7" ht="15.75">
      <c r="B3" s="6" t="s">
        <v>64</v>
      </c>
      <c r="C3" s="17">
        <v>0.375</v>
      </c>
      <c r="D3" s="17">
        <v>0.375</v>
      </c>
      <c r="E3" s="17">
        <v>0.375</v>
      </c>
      <c r="F3" s="17">
        <v>0.375</v>
      </c>
      <c r="G3" s="17">
        <v>0.375</v>
      </c>
    </row>
    <row r="4" spans="2:7" ht="15.75">
      <c r="B4" s="6" t="s">
        <v>65</v>
      </c>
      <c r="C4" s="17">
        <v>0.29166666666666669</v>
      </c>
      <c r="D4" s="17">
        <v>0.29166666666666669</v>
      </c>
      <c r="E4" s="17">
        <v>0.29166666666666669</v>
      </c>
      <c r="F4" s="17">
        <v>0.29166666666666669</v>
      </c>
      <c r="G4" s="17">
        <v>0.29166666666666669</v>
      </c>
    </row>
    <row r="5" spans="2:7" ht="15.75">
      <c r="B5" s="6" t="s">
        <v>85</v>
      </c>
      <c r="C5" s="17">
        <v>0.20833333333333334</v>
      </c>
      <c r="D5" s="17">
        <v>0.20833333333333334</v>
      </c>
      <c r="E5" s="17">
        <v>0.20833333333333334</v>
      </c>
      <c r="F5" s="17">
        <v>0.20833333333333334</v>
      </c>
      <c r="G5" s="17">
        <v>0.20833333333333334</v>
      </c>
    </row>
    <row r="6" spans="2:7" ht="15.75">
      <c r="B6" s="6" t="s">
        <v>86</v>
      </c>
      <c r="C6" s="17">
        <v>0.125</v>
      </c>
      <c r="D6" s="17">
        <v>0.125</v>
      </c>
      <c r="E6" s="17">
        <v>0.125</v>
      </c>
      <c r="F6" s="17">
        <v>0.125</v>
      </c>
      <c r="G6" s="17">
        <v>0.125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/>
  <dimension ref="B2:C8"/>
  <sheetViews>
    <sheetView workbookViewId="0">
      <selection activeCell="C26" sqref="C26"/>
    </sheetView>
  </sheetViews>
  <sheetFormatPr defaultRowHeight="13.5"/>
  <sheetData>
    <row r="2" spans="2:3" ht="14.25">
      <c r="B2" s="15" t="s">
        <v>77</v>
      </c>
      <c r="C2" s="15" t="s">
        <v>82</v>
      </c>
    </row>
    <row r="3" spans="2:3" ht="15.75">
      <c r="B3" s="6" t="s">
        <v>70</v>
      </c>
      <c r="C3" s="20">
        <v>0.29199999999999998</v>
      </c>
    </row>
    <row r="4" spans="2:3" ht="15.75">
      <c r="B4" s="6" t="s">
        <v>71</v>
      </c>
      <c r="C4" s="20">
        <v>0.22700000000000001</v>
      </c>
    </row>
    <row r="5" spans="2:3" ht="15.75">
      <c r="B5" s="6" t="s">
        <v>72</v>
      </c>
      <c r="C5" s="20">
        <v>0.17499999999999999</v>
      </c>
    </row>
    <row r="6" spans="2:3" ht="15.75">
      <c r="B6" s="6" t="s">
        <v>73</v>
      </c>
      <c r="C6" s="20">
        <v>0.13600000000000001</v>
      </c>
    </row>
    <row r="7" spans="2:3" ht="15.75">
      <c r="B7" s="6" t="s">
        <v>74</v>
      </c>
      <c r="C7" s="21">
        <v>0.10299999999999999</v>
      </c>
    </row>
    <row r="8" spans="2:3" ht="15.75">
      <c r="B8" s="6" t="s">
        <v>75</v>
      </c>
      <c r="C8" s="20">
        <v>0.05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7"/>
  <dimension ref="B2:K24"/>
  <sheetViews>
    <sheetView workbookViewId="0">
      <selection activeCell="M29" sqref="M29"/>
    </sheetView>
  </sheetViews>
  <sheetFormatPr defaultRowHeight="13.5"/>
  <sheetData>
    <row r="2" spans="2:11" ht="15.75">
      <c r="B2" s="23" t="s">
        <v>59</v>
      </c>
      <c r="C2" s="23" t="s">
        <v>60</v>
      </c>
      <c r="D2" s="9"/>
      <c r="E2" s="23" t="s">
        <v>57</v>
      </c>
      <c r="F2" s="23" t="s">
        <v>58</v>
      </c>
      <c r="G2" s="9"/>
      <c r="H2" s="24" t="s">
        <v>56</v>
      </c>
    </row>
    <row r="3" spans="2:11" ht="15.75">
      <c r="B3" s="5">
        <v>50</v>
      </c>
      <c r="C3" s="5">
        <v>0</v>
      </c>
      <c r="D3" s="9"/>
      <c r="E3" s="24" t="s">
        <v>61</v>
      </c>
      <c r="F3" s="5">
        <f>MAX(0,MIN(H3-50,100))*270/100</f>
        <v>70.2</v>
      </c>
      <c r="G3" s="9"/>
      <c r="H3" s="5">
        <v>76</v>
      </c>
      <c r="I3" s="3"/>
      <c r="J3" s="3"/>
      <c r="K3" s="3"/>
    </row>
    <row r="4" spans="2:11" ht="15.75">
      <c r="B4" s="5"/>
      <c r="C4" s="5">
        <v>27</v>
      </c>
      <c r="D4" s="9"/>
      <c r="E4" s="24" t="s">
        <v>55</v>
      </c>
      <c r="F4" s="5">
        <v>0</v>
      </c>
      <c r="G4" s="9"/>
      <c r="H4" s="9"/>
    </row>
    <row r="5" spans="2:11" ht="15.75">
      <c r="B5" s="5">
        <v>60</v>
      </c>
      <c r="C5" s="5">
        <v>0</v>
      </c>
      <c r="D5" s="5"/>
      <c r="E5" s="24" t="s">
        <v>9</v>
      </c>
      <c r="F5" s="5">
        <f>360-F3-F4</f>
        <v>289.8</v>
      </c>
      <c r="G5" s="9"/>
      <c r="H5" s="9"/>
    </row>
    <row r="6" spans="2:11" ht="15.75">
      <c r="B6" s="5"/>
      <c r="C6" s="5">
        <v>27</v>
      </c>
      <c r="D6" s="5"/>
      <c r="E6" s="5"/>
      <c r="F6" s="9"/>
      <c r="G6" s="9"/>
      <c r="H6" s="9"/>
    </row>
    <row r="7" spans="2:11" ht="15.75">
      <c r="B7" s="5">
        <v>70</v>
      </c>
      <c r="C7" s="5">
        <v>0</v>
      </c>
      <c r="D7" s="5"/>
      <c r="E7" s="5"/>
      <c r="F7" s="9"/>
      <c r="G7" s="9"/>
      <c r="H7" s="9"/>
    </row>
    <row r="8" spans="2:11" ht="15.75">
      <c r="B8" s="5"/>
      <c r="C8" s="5">
        <v>27</v>
      </c>
      <c r="D8" s="5"/>
      <c r="E8" s="5"/>
      <c r="F8" s="9"/>
      <c r="G8" s="9"/>
      <c r="H8" s="9"/>
    </row>
    <row r="9" spans="2:11" ht="15.75">
      <c r="B9" s="5">
        <v>80</v>
      </c>
      <c r="C9" s="5">
        <v>0</v>
      </c>
      <c r="D9" s="5"/>
      <c r="E9" s="5"/>
      <c r="F9" s="9"/>
      <c r="G9" s="9"/>
      <c r="H9" s="9"/>
    </row>
    <row r="10" spans="2:11" ht="15.75">
      <c r="B10" s="5"/>
      <c r="C10" s="5">
        <v>27</v>
      </c>
      <c r="D10" s="5"/>
      <c r="E10" s="5"/>
      <c r="F10" s="9"/>
      <c r="G10" s="9"/>
      <c r="H10" s="9"/>
    </row>
    <row r="11" spans="2:11" ht="15.75">
      <c r="B11" s="5">
        <v>90</v>
      </c>
      <c r="C11" s="5">
        <v>0</v>
      </c>
      <c r="D11" s="5"/>
      <c r="E11" s="5"/>
      <c r="F11" s="9"/>
      <c r="G11" s="9"/>
      <c r="H11" s="9"/>
    </row>
    <row r="12" spans="2:11" ht="15.75">
      <c r="B12" s="5"/>
      <c r="C12" s="5">
        <v>27</v>
      </c>
      <c r="D12" s="5"/>
      <c r="E12" s="5"/>
      <c r="F12" s="9"/>
      <c r="G12" s="9"/>
      <c r="H12" s="9"/>
    </row>
    <row r="13" spans="2:11" ht="15.75">
      <c r="B13" s="5">
        <v>100</v>
      </c>
      <c r="C13" s="5">
        <v>0</v>
      </c>
      <c r="D13" s="5"/>
      <c r="E13" s="5"/>
      <c r="F13" s="9"/>
      <c r="G13" s="9"/>
      <c r="H13" s="9"/>
    </row>
    <row r="14" spans="2:11" ht="15.75">
      <c r="B14" s="5"/>
      <c r="C14" s="5">
        <v>27</v>
      </c>
      <c r="D14" s="5"/>
      <c r="E14" s="5"/>
      <c r="F14" s="9"/>
      <c r="G14" s="9"/>
      <c r="H14" s="9"/>
    </row>
    <row r="15" spans="2:11" ht="15.75">
      <c r="B15" s="5">
        <v>110</v>
      </c>
      <c r="C15" s="5">
        <v>0</v>
      </c>
      <c r="D15" s="5"/>
      <c r="E15" s="5"/>
      <c r="F15" s="9"/>
      <c r="G15" s="9"/>
      <c r="H15" s="9"/>
    </row>
    <row r="16" spans="2:11" ht="15.75">
      <c r="B16" s="5"/>
      <c r="C16" s="5">
        <v>27</v>
      </c>
      <c r="D16" s="5"/>
      <c r="E16" s="5"/>
      <c r="F16" s="9"/>
      <c r="G16" s="9"/>
      <c r="H16" s="9"/>
    </row>
    <row r="17" spans="2:8" ht="15.75">
      <c r="B17" s="5">
        <v>120</v>
      </c>
      <c r="C17" s="5">
        <v>0</v>
      </c>
      <c r="D17" s="5"/>
      <c r="E17" s="5"/>
      <c r="F17" s="9"/>
      <c r="G17" s="9"/>
      <c r="H17" s="9"/>
    </row>
    <row r="18" spans="2:8" ht="15.75">
      <c r="B18" s="5"/>
      <c r="C18" s="5">
        <v>27</v>
      </c>
      <c r="D18" s="5"/>
      <c r="E18" s="5"/>
      <c r="F18" s="9"/>
      <c r="G18" s="9"/>
      <c r="H18" s="9"/>
    </row>
    <row r="19" spans="2:8" ht="15.75">
      <c r="B19" s="5">
        <v>130</v>
      </c>
      <c r="C19" s="5">
        <v>0</v>
      </c>
      <c r="D19" s="5"/>
      <c r="E19" s="5"/>
      <c r="F19" s="9"/>
      <c r="G19" s="9"/>
      <c r="H19" s="9"/>
    </row>
    <row r="20" spans="2:8" ht="15.75">
      <c r="B20" s="5"/>
      <c r="C20" s="5">
        <v>27</v>
      </c>
      <c r="D20" s="5"/>
      <c r="E20" s="5"/>
      <c r="F20" s="9"/>
      <c r="G20" s="9"/>
      <c r="H20" s="9"/>
    </row>
    <row r="21" spans="2:8" ht="15.75">
      <c r="B21" s="5">
        <v>140</v>
      </c>
      <c r="C21" s="5">
        <v>0</v>
      </c>
      <c r="D21" s="5"/>
      <c r="E21" s="5"/>
      <c r="F21" s="9"/>
      <c r="G21" s="9"/>
      <c r="H21" s="9"/>
    </row>
    <row r="22" spans="2:8" ht="15.75">
      <c r="B22" s="5"/>
      <c r="C22" s="5">
        <v>27</v>
      </c>
      <c r="D22" s="5"/>
      <c r="E22" s="5"/>
      <c r="F22" s="9"/>
      <c r="G22" s="9"/>
      <c r="H22" s="9"/>
    </row>
    <row r="23" spans="2:8" ht="15.75">
      <c r="B23" s="5">
        <v>150</v>
      </c>
      <c r="C23" s="5">
        <v>0</v>
      </c>
      <c r="D23" s="5"/>
      <c r="E23" s="5"/>
      <c r="F23" s="9"/>
      <c r="G23" s="9"/>
      <c r="H23" s="9"/>
    </row>
    <row r="24" spans="2:8" ht="14.25">
      <c r="B24" s="3"/>
      <c r="C24" s="5">
        <v>90</v>
      </c>
      <c r="D24" s="3"/>
      <c r="E24" s="3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8"/>
  <dimension ref="B2:D8"/>
  <sheetViews>
    <sheetView workbookViewId="0">
      <selection activeCell="B21" sqref="B21"/>
    </sheetView>
  </sheetViews>
  <sheetFormatPr defaultRowHeight="13.5"/>
  <sheetData>
    <row r="2" spans="2:4" ht="14.25">
      <c r="B2" s="4" t="s">
        <v>8</v>
      </c>
      <c r="C2" s="15" t="s">
        <v>0</v>
      </c>
      <c r="D2" s="15" t="s">
        <v>1</v>
      </c>
    </row>
    <row r="3" spans="2:4" ht="15.75">
      <c r="B3" s="25" t="s">
        <v>2</v>
      </c>
      <c r="C3" s="10">
        <v>1603</v>
      </c>
      <c r="D3" s="8">
        <v>0.27</v>
      </c>
    </row>
    <row r="4" spans="2:4" ht="15.75">
      <c r="B4" s="25" t="s">
        <v>3</v>
      </c>
      <c r="C4" s="10">
        <v>2106</v>
      </c>
      <c r="D4" s="8">
        <f>C4/C3-1</f>
        <v>0.31378665003119144</v>
      </c>
    </row>
    <row r="5" spans="2:4" ht="15.75">
      <c r="B5" s="25" t="s">
        <v>4</v>
      </c>
      <c r="C5" s="10">
        <v>2406</v>
      </c>
      <c r="D5" s="8">
        <f t="shared" ref="D5:D8" si="0">C5/C4-1</f>
        <v>0.14245014245014254</v>
      </c>
    </row>
    <row r="6" spans="2:4" ht="15.75">
      <c r="B6" s="25" t="s">
        <v>5</v>
      </c>
      <c r="C6" s="10">
        <v>3265</v>
      </c>
      <c r="D6" s="8">
        <f t="shared" si="0"/>
        <v>0.35702410640066495</v>
      </c>
    </row>
    <row r="7" spans="2:4" ht="15.75">
      <c r="B7" s="25" t="s">
        <v>6</v>
      </c>
      <c r="C7" s="10">
        <v>3721</v>
      </c>
      <c r="D7" s="8">
        <f t="shared" si="0"/>
        <v>0.1396630934150076</v>
      </c>
    </row>
    <row r="8" spans="2:4" ht="15.75">
      <c r="B8" s="25" t="s">
        <v>7</v>
      </c>
      <c r="C8" s="10">
        <v>3921</v>
      </c>
      <c r="D8" s="8">
        <f t="shared" si="0"/>
        <v>5.3748992206396062E-2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9"/>
  <dimension ref="B2:AL9"/>
  <sheetViews>
    <sheetView workbookViewId="0">
      <selection activeCell="R30" sqref="R30"/>
    </sheetView>
  </sheetViews>
  <sheetFormatPr defaultRowHeight="13.5"/>
  <cols>
    <col min="19" max="19" width="9.75" customWidth="1"/>
    <col min="20" max="20" width="9.375" customWidth="1"/>
  </cols>
  <sheetData>
    <row r="2" spans="2:38" ht="14.25">
      <c r="B2" s="4" t="s">
        <v>62</v>
      </c>
      <c r="C2" s="4" t="s">
        <v>48</v>
      </c>
      <c r="D2" s="4" t="s">
        <v>49</v>
      </c>
    </row>
    <row r="3" spans="2:38" ht="14.25">
      <c r="B3" s="5" t="s">
        <v>42</v>
      </c>
      <c r="C3" s="5">
        <v>653</v>
      </c>
      <c r="D3" s="5">
        <v>700</v>
      </c>
    </row>
    <row r="4" spans="2:38" ht="14.25">
      <c r="B4" s="5" t="s">
        <v>43</v>
      </c>
      <c r="C4" s="5">
        <v>523</v>
      </c>
      <c r="D4" s="5">
        <v>500</v>
      </c>
      <c r="AG4" s="2"/>
      <c r="AL4">
        <f t="shared" ref="AL4:AL9" si="0">C3/D3</f>
        <v>0.93285714285714283</v>
      </c>
    </row>
    <row r="5" spans="2:38" ht="14.25">
      <c r="B5" s="5" t="s">
        <v>44</v>
      </c>
      <c r="C5" s="5">
        <v>648</v>
      </c>
      <c r="D5" s="5">
        <v>600</v>
      </c>
      <c r="AL5">
        <f t="shared" si="0"/>
        <v>1.046</v>
      </c>
    </row>
    <row r="6" spans="2:38" ht="14.25">
      <c r="B6" s="5" t="s">
        <v>45</v>
      </c>
      <c r="C6" s="5">
        <v>856</v>
      </c>
      <c r="D6" s="5">
        <v>900</v>
      </c>
      <c r="AL6">
        <f t="shared" si="0"/>
        <v>1.08</v>
      </c>
    </row>
    <row r="7" spans="2:38" ht="15.75">
      <c r="B7" s="6" t="s">
        <v>46</v>
      </c>
      <c r="C7" s="5">
        <v>714</v>
      </c>
      <c r="D7" s="5">
        <v>600</v>
      </c>
      <c r="AL7">
        <f t="shared" si="0"/>
        <v>0.95111111111111113</v>
      </c>
    </row>
    <row r="8" spans="2:38" ht="14.25">
      <c r="B8" s="5" t="s">
        <v>47</v>
      </c>
      <c r="C8" s="5">
        <v>785</v>
      </c>
      <c r="D8" s="5">
        <v>600</v>
      </c>
      <c r="AL8">
        <f t="shared" si="0"/>
        <v>1.19</v>
      </c>
    </row>
    <row r="9" spans="2:38">
      <c r="AL9">
        <f t="shared" si="0"/>
        <v>1.3083333333333333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0"/>
  <dimension ref="B3:AH10"/>
  <sheetViews>
    <sheetView workbookViewId="0">
      <selection activeCell="F22" sqref="F22"/>
    </sheetView>
  </sheetViews>
  <sheetFormatPr defaultRowHeight="13.5"/>
  <cols>
    <col min="15" max="16" width="9.125" customWidth="1"/>
  </cols>
  <sheetData>
    <row r="3" spans="2:34" ht="14.25">
      <c r="B3" s="4" t="s">
        <v>50</v>
      </c>
      <c r="C3" s="4" t="s">
        <v>51</v>
      </c>
      <c r="D3" s="4" t="s">
        <v>41</v>
      </c>
      <c r="E3" s="4" t="s">
        <v>52</v>
      </c>
      <c r="F3" s="4" t="s">
        <v>53</v>
      </c>
      <c r="G3" s="4" t="s">
        <v>54</v>
      </c>
    </row>
    <row r="4" spans="2:34" ht="14.25">
      <c r="B4" s="5" t="s">
        <v>42</v>
      </c>
      <c r="C4" s="18">
        <v>653</v>
      </c>
      <c r="D4" s="18">
        <v>700</v>
      </c>
      <c r="E4" s="18">
        <v>600</v>
      </c>
      <c r="F4" s="18">
        <v>200</v>
      </c>
      <c r="G4" s="18">
        <v>200</v>
      </c>
    </row>
    <row r="5" spans="2:34" ht="14.25">
      <c r="B5" s="5" t="s">
        <v>43</v>
      </c>
      <c r="C5" s="18">
        <v>523</v>
      </c>
      <c r="D5" s="18">
        <v>500</v>
      </c>
      <c r="E5" s="18">
        <v>600</v>
      </c>
      <c r="F5" s="18">
        <v>200</v>
      </c>
      <c r="G5" s="18">
        <v>200</v>
      </c>
      <c r="AC5" s="2"/>
      <c r="AH5">
        <f t="shared" ref="AH5:AH10" si="0">C4/D4</f>
        <v>0.93285714285714283</v>
      </c>
    </row>
    <row r="6" spans="2:34" ht="14.25">
      <c r="B6" s="5" t="s">
        <v>44</v>
      </c>
      <c r="C6" s="18">
        <v>648</v>
      </c>
      <c r="D6" s="18">
        <v>600</v>
      </c>
      <c r="E6" s="18">
        <v>600</v>
      </c>
      <c r="F6" s="18">
        <v>200</v>
      </c>
      <c r="G6" s="18">
        <v>200</v>
      </c>
      <c r="AH6">
        <f t="shared" si="0"/>
        <v>1.046</v>
      </c>
    </row>
    <row r="7" spans="2:34" ht="14.25">
      <c r="B7" s="5" t="s">
        <v>45</v>
      </c>
      <c r="C7" s="18">
        <v>856</v>
      </c>
      <c r="D7" s="18">
        <v>900</v>
      </c>
      <c r="E7" s="18">
        <v>600</v>
      </c>
      <c r="F7" s="18">
        <v>200</v>
      </c>
      <c r="G7" s="18">
        <v>200</v>
      </c>
      <c r="AH7">
        <f t="shared" si="0"/>
        <v>1.08</v>
      </c>
    </row>
    <row r="8" spans="2:34" ht="15.75">
      <c r="B8" s="6" t="s">
        <v>46</v>
      </c>
      <c r="C8" s="18">
        <v>714</v>
      </c>
      <c r="D8" s="18">
        <v>600</v>
      </c>
      <c r="E8" s="18">
        <v>600</v>
      </c>
      <c r="F8" s="18">
        <v>200</v>
      </c>
      <c r="G8" s="18">
        <v>200</v>
      </c>
      <c r="AH8">
        <f t="shared" si="0"/>
        <v>0.95111111111111113</v>
      </c>
    </row>
    <row r="9" spans="2:34" ht="14.25">
      <c r="B9" s="5" t="s">
        <v>47</v>
      </c>
      <c r="C9" s="18">
        <v>785</v>
      </c>
      <c r="D9" s="18">
        <v>600</v>
      </c>
      <c r="E9" s="18">
        <v>600</v>
      </c>
      <c r="F9" s="18">
        <v>200</v>
      </c>
      <c r="G9" s="18">
        <v>200</v>
      </c>
      <c r="AH9">
        <f t="shared" si="0"/>
        <v>1.19</v>
      </c>
    </row>
    <row r="10" spans="2:34">
      <c r="AH10">
        <f t="shared" si="0"/>
        <v>1.3083333333333333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1"/>
  <dimension ref="B2:E8"/>
  <sheetViews>
    <sheetView workbookViewId="0">
      <selection activeCell="C17" sqref="C17"/>
    </sheetView>
  </sheetViews>
  <sheetFormatPr defaultRowHeight="13.5"/>
  <sheetData>
    <row r="2" spans="2:5" ht="14.25">
      <c r="B2" s="4" t="s">
        <v>35</v>
      </c>
      <c r="C2" s="4" t="s">
        <v>17</v>
      </c>
      <c r="D2" s="4" t="s">
        <v>9</v>
      </c>
      <c r="E2" s="4" t="s">
        <v>15</v>
      </c>
    </row>
    <row r="3" spans="2:5" ht="14.25">
      <c r="B3" s="5" t="s">
        <v>10</v>
      </c>
      <c r="C3" s="26">
        <v>2354</v>
      </c>
      <c r="D3" s="26">
        <v>4500</v>
      </c>
      <c r="E3" s="7">
        <v>0.12</v>
      </c>
    </row>
    <row r="4" spans="2:5" ht="14.25">
      <c r="B4" s="5" t="s">
        <v>11</v>
      </c>
      <c r="C4" s="26">
        <v>1902</v>
      </c>
      <c r="D4" s="26">
        <v>4500</v>
      </c>
      <c r="E4" s="7">
        <v>0.25</v>
      </c>
    </row>
    <row r="5" spans="2:5" ht="14.25">
      <c r="B5" s="5" t="s">
        <v>12</v>
      </c>
      <c r="C5" s="26">
        <v>3524</v>
      </c>
      <c r="D5" s="26">
        <v>4500</v>
      </c>
      <c r="E5" s="7">
        <v>0.16</v>
      </c>
    </row>
    <row r="6" spans="2:5" ht="14.25">
      <c r="B6" s="5" t="s">
        <v>13</v>
      </c>
      <c r="C6" s="26">
        <v>2698</v>
      </c>
      <c r="D6" s="26">
        <v>4500</v>
      </c>
      <c r="E6" s="7">
        <v>0.21</v>
      </c>
    </row>
    <row r="7" spans="2:5" ht="14.25">
      <c r="B7" s="5" t="s">
        <v>14</v>
      </c>
      <c r="C7" s="26">
        <v>2896</v>
      </c>
      <c r="D7" s="26">
        <v>4500</v>
      </c>
      <c r="E7" s="7">
        <v>0.18</v>
      </c>
    </row>
    <row r="8" spans="2:5" ht="14.25">
      <c r="B8" s="10" t="s">
        <v>16</v>
      </c>
      <c r="C8" s="10">
        <v>2563</v>
      </c>
      <c r="D8" s="26">
        <v>4500</v>
      </c>
      <c r="E8" s="7">
        <v>0.25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B2:E8"/>
  <sheetViews>
    <sheetView workbookViewId="0">
      <selection activeCell="O41" sqref="O41"/>
    </sheetView>
  </sheetViews>
  <sheetFormatPr defaultRowHeight="13.5"/>
  <sheetData>
    <row r="2" spans="2:5" ht="14.25">
      <c r="B2" s="4" t="s">
        <v>35</v>
      </c>
      <c r="C2" s="4" t="s">
        <v>83</v>
      </c>
      <c r="D2" s="4" t="s">
        <v>84</v>
      </c>
      <c r="E2" s="4" t="s">
        <v>15</v>
      </c>
    </row>
    <row r="3" spans="2:5" ht="14.25">
      <c r="B3" s="5" t="s">
        <v>10</v>
      </c>
      <c r="C3" s="26">
        <v>2354</v>
      </c>
      <c r="D3" s="26">
        <v>2021</v>
      </c>
      <c r="E3" s="7">
        <v>0.16</v>
      </c>
    </row>
    <row r="4" spans="2:5" ht="14.25">
      <c r="B4" s="5" t="s">
        <v>11</v>
      </c>
      <c r="C4" s="26">
        <v>1902</v>
      </c>
      <c r="D4" s="26">
        <v>1563</v>
      </c>
      <c r="E4" s="7">
        <v>0.22</v>
      </c>
    </row>
    <row r="5" spans="2:5" ht="14.25">
      <c r="B5" s="5" t="s">
        <v>12</v>
      </c>
      <c r="C5" s="26">
        <v>3524</v>
      </c>
      <c r="D5" s="26">
        <v>3213</v>
      </c>
      <c r="E5" s="7">
        <v>0.1</v>
      </c>
    </row>
    <row r="6" spans="2:5" ht="14.25">
      <c r="B6" s="5" t="s">
        <v>13</v>
      </c>
      <c r="C6" s="26">
        <v>2698</v>
      </c>
      <c r="D6" s="26">
        <v>2531</v>
      </c>
      <c r="E6" s="7">
        <v>7.0000000000000007E-2</v>
      </c>
    </row>
    <row r="7" spans="2:5" ht="14.25">
      <c r="B7" s="5" t="s">
        <v>14</v>
      </c>
      <c r="C7" s="26">
        <v>2896</v>
      </c>
      <c r="D7" s="26">
        <v>2631</v>
      </c>
      <c r="E7" s="7">
        <v>0.1</v>
      </c>
    </row>
    <row r="8" spans="2:5" ht="14.25">
      <c r="B8" s="10" t="s">
        <v>16</v>
      </c>
      <c r="C8" s="10">
        <v>2563</v>
      </c>
      <c r="D8" s="26">
        <v>2361</v>
      </c>
      <c r="E8" s="7">
        <v>0.09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2"/>
  <dimension ref="B2:D17"/>
  <sheetViews>
    <sheetView workbookViewId="0">
      <selection activeCell="R41" sqref="R41"/>
    </sheetView>
  </sheetViews>
  <sheetFormatPr defaultRowHeight="13.5"/>
  <cols>
    <col min="3" max="3" width="9.75" customWidth="1"/>
    <col min="4" max="4" width="9.375" customWidth="1"/>
  </cols>
  <sheetData>
    <row r="2" spans="2:4" ht="14.25">
      <c r="B2" s="4" t="s">
        <v>24</v>
      </c>
      <c r="C2" s="4" t="s">
        <v>25</v>
      </c>
      <c r="D2" s="4" t="s">
        <v>26</v>
      </c>
    </row>
    <row r="3" spans="2:4" ht="15.75">
      <c r="B3" s="5" t="s">
        <v>18</v>
      </c>
      <c r="C3" s="26">
        <v>2354</v>
      </c>
      <c r="D3" s="27">
        <f>SUM($C$3:$C$5)</f>
        <v>7780</v>
      </c>
    </row>
    <row r="4" spans="2:4" ht="15.75">
      <c r="B4" s="5" t="s">
        <v>19</v>
      </c>
      <c r="C4" s="26">
        <v>1902</v>
      </c>
      <c r="D4" s="27">
        <f t="shared" ref="D4:D5" si="0">SUM($C$3:$C$5)</f>
        <v>7780</v>
      </c>
    </row>
    <row r="5" spans="2:4" ht="15.75">
      <c r="B5" s="5" t="s">
        <v>20</v>
      </c>
      <c r="C5" s="26">
        <v>3524</v>
      </c>
      <c r="D5" s="27">
        <f t="shared" si="0"/>
        <v>7780</v>
      </c>
    </row>
    <row r="6" spans="2:4" ht="15.75">
      <c r="B6" s="5"/>
      <c r="C6" s="26"/>
      <c r="D6" s="27"/>
    </row>
    <row r="7" spans="2:4" ht="15.75">
      <c r="B7" s="5" t="s">
        <v>21</v>
      </c>
      <c r="C7" s="26">
        <v>2698</v>
      </c>
      <c r="D7" s="27">
        <f>SUM($C$7:$C$9)</f>
        <v>8157</v>
      </c>
    </row>
    <row r="8" spans="2:4" ht="15.75">
      <c r="B8" s="5" t="s">
        <v>22</v>
      </c>
      <c r="C8" s="26">
        <v>2896</v>
      </c>
      <c r="D8" s="27">
        <f t="shared" ref="D8:D9" si="1">SUM($C$7:$C$9)</f>
        <v>8157</v>
      </c>
    </row>
    <row r="9" spans="2:4" ht="15.75">
      <c r="B9" s="5" t="s">
        <v>23</v>
      </c>
      <c r="C9" s="10">
        <v>2563</v>
      </c>
      <c r="D9" s="27">
        <f t="shared" si="1"/>
        <v>8157</v>
      </c>
    </row>
    <row r="10" spans="2:4" ht="15.75">
      <c r="B10" s="6"/>
      <c r="C10" s="6"/>
      <c r="D10" s="6"/>
    </row>
    <row r="11" spans="2:4" ht="15.75">
      <c r="B11" s="5" t="s">
        <v>27</v>
      </c>
      <c r="C11" s="26">
        <v>3156</v>
      </c>
      <c r="D11" s="28">
        <f>SUM($C$11:$C$13)</f>
        <v>9673</v>
      </c>
    </row>
    <row r="12" spans="2:4" ht="15.75">
      <c r="B12" s="5" t="s">
        <v>28</v>
      </c>
      <c r="C12" s="26">
        <v>2896</v>
      </c>
      <c r="D12" s="28">
        <f t="shared" ref="D12:D13" si="2">SUM($C$11:$C$13)</f>
        <v>9673</v>
      </c>
    </row>
    <row r="13" spans="2:4" ht="15.75">
      <c r="B13" s="5" t="s">
        <v>29</v>
      </c>
      <c r="C13" s="26">
        <v>3621</v>
      </c>
      <c r="D13" s="28">
        <f t="shared" si="2"/>
        <v>9673</v>
      </c>
    </row>
    <row r="14" spans="2:4" ht="15.75">
      <c r="B14" s="6"/>
      <c r="C14" s="6"/>
      <c r="D14" s="6"/>
    </row>
    <row r="15" spans="2:4" ht="15.75">
      <c r="B15" s="5" t="s">
        <v>30</v>
      </c>
      <c r="C15" s="26">
        <v>2635</v>
      </c>
      <c r="D15" s="28">
        <f>SUM($C$15:$C$17)</f>
        <v>8387</v>
      </c>
    </row>
    <row r="16" spans="2:4" ht="15.75">
      <c r="B16" s="5" t="s">
        <v>31</v>
      </c>
      <c r="C16" s="26">
        <v>2963</v>
      </c>
      <c r="D16" s="28">
        <f t="shared" ref="D16:D17" si="3">SUM($C$15:$C$17)</f>
        <v>8387</v>
      </c>
    </row>
    <row r="17" spans="2:4" ht="15.75">
      <c r="B17" s="5" t="s">
        <v>32</v>
      </c>
      <c r="C17" s="26">
        <v>2789</v>
      </c>
      <c r="D17" s="28">
        <f t="shared" si="3"/>
        <v>8387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13"/>
  <dimension ref="B2:R7"/>
  <sheetViews>
    <sheetView workbookViewId="0">
      <selection activeCell="D22" sqref="D22"/>
    </sheetView>
  </sheetViews>
  <sheetFormatPr defaultRowHeight="13.5"/>
  <cols>
    <col min="3" max="3" width="9.75" customWidth="1"/>
    <col min="4" max="4" width="9.375" customWidth="1"/>
  </cols>
  <sheetData>
    <row r="2" spans="2:18" ht="14.25">
      <c r="B2" s="4" t="s">
        <v>35</v>
      </c>
      <c r="C2" s="4" t="s">
        <v>33</v>
      </c>
      <c r="D2" s="4" t="s">
        <v>36</v>
      </c>
      <c r="E2" s="4" t="s">
        <v>34</v>
      </c>
    </row>
    <row r="3" spans="2:18" ht="15.75">
      <c r="B3" s="5" t="s">
        <v>16</v>
      </c>
      <c r="C3" s="7">
        <v>0.35</v>
      </c>
      <c r="D3" s="8">
        <f>1-C3</f>
        <v>0.65</v>
      </c>
      <c r="E3" s="6">
        <v>1</v>
      </c>
      <c r="R3" s="2"/>
    </row>
    <row r="4" spans="2:18" ht="15.75">
      <c r="B4" s="5" t="s">
        <v>13</v>
      </c>
      <c r="C4" s="7">
        <v>0.51</v>
      </c>
      <c r="D4" s="8">
        <f t="shared" ref="D4:D7" si="0">1-C4</f>
        <v>0.49</v>
      </c>
      <c r="E4" s="6">
        <v>3</v>
      </c>
    </row>
    <row r="5" spans="2:18" ht="15.75">
      <c r="B5" s="5" t="s">
        <v>12</v>
      </c>
      <c r="C5" s="7">
        <v>0.62</v>
      </c>
      <c r="D5" s="8">
        <f t="shared" si="0"/>
        <v>0.38</v>
      </c>
      <c r="E5" s="6">
        <v>5</v>
      </c>
    </row>
    <row r="6" spans="2:18" ht="15.75">
      <c r="B6" s="5" t="s">
        <v>10</v>
      </c>
      <c r="C6" s="7">
        <v>0.74</v>
      </c>
      <c r="D6" s="8">
        <f t="shared" si="0"/>
        <v>0.26</v>
      </c>
      <c r="E6" s="6">
        <v>7</v>
      </c>
    </row>
    <row r="7" spans="2:18" ht="15.75">
      <c r="B7" s="6" t="s">
        <v>11</v>
      </c>
      <c r="C7" s="8">
        <v>0.86</v>
      </c>
      <c r="D7" s="8">
        <f t="shared" si="0"/>
        <v>0.14000000000000001</v>
      </c>
      <c r="E7" s="6">
        <v>9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sheetPr codeName="Sheet14"/>
  <dimension ref="B3:S8"/>
  <sheetViews>
    <sheetView workbookViewId="0">
      <selection activeCell="J37" sqref="J37"/>
    </sheetView>
  </sheetViews>
  <sheetFormatPr defaultRowHeight="13.5"/>
  <cols>
    <col min="3" max="5" width="9.125" customWidth="1"/>
  </cols>
  <sheetData>
    <row r="3" spans="2:19" ht="14.25">
      <c r="B3" s="4" t="s">
        <v>35</v>
      </c>
      <c r="C3" s="4" t="s">
        <v>37</v>
      </c>
      <c r="D3" s="4" t="s">
        <v>38</v>
      </c>
      <c r="E3" s="4" t="s">
        <v>36</v>
      </c>
      <c r="F3" s="4" t="s">
        <v>34</v>
      </c>
    </row>
    <row r="4" spans="2:19" ht="15.75">
      <c r="B4" s="5" t="s">
        <v>16</v>
      </c>
      <c r="C4" s="7">
        <v>0.35</v>
      </c>
      <c r="D4" s="7">
        <v>0.45</v>
      </c>
      <c r="E4" s="8">
        <f>1-C4</f>
        <v>0.65</v>
      </c>
      <c r="F4" s="6">
        <v>1</v>
      </c>
      <c r="S4" s="2"/>
    </row>
    <row r="5" spans="2:19" ht="15.75">
      <c r="B5" s="5" t="s">
        <v>13</v>
      </c>
      <c r="C5" s="7">
        <v>0.51</v>
      </c>
      <c r="D5" s="7">
        <v>0.39</v>
      </c>
      <c r="E5" s="8">
        <f t="shared" ref="E5:E8" si="0">1-C5</f>
        <v>0.49</v>
      </c>
      <c r="F5" s="6">
        <v>3</v>
      </c>
    </row>
    <row r="6" spans="2:19" ht="15.75">
      <c r="B6" s="5" t="s">
        <v>12</v>
      </c>
      <c r="C6" s="7">
        <v>0.62</v>
      </c>
      <c r="D6" s="7">
        <v>0.53</v>
      </c>
      <c r="E6" s="8">
        <f t="shared" si="0"/>
        <v>0.38</v>
      </c>
      <c r="F6" s="6">
        <v>5</v>
      </c>
    </row>
    <row r="7" spans="2:19" ht="15.75">
      <c r="B7" s="5" t="s">
        <v>10</v>
      </c>
      <c r="C7" s="7">
        <v>0.74</v>
      </c>
      <c r="D7" s="7">
        <v>0.69</v>
      </c>
      <c r="E7" s="8">
        <f t="shared" si="0"/>
        <v>0.26</v>
      </c>
      <c r="F7" s="6">
        <v>7</v>
      </c>
    </row>
    <row r="8" spans="2:19" ht="15.75">
      <c r="B8" s="6" t="s">
        <v>11</v>
      </c>
      <c r="C8" s="8">
        <v>0.86</v>
      </c>
      <c r="D8" s="8">
        <v>0.92</v>
      </c>
      <c r="E8" s="8">
        <f t="shared" si="0"/>
        <v>0.14000000000000001</v>
      </c>
      <c r="F8" s="6">
        <v>9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16 波浪水球图 </vt:lpstr>
      <vt:lpstr>17 玉玦图</vt:lpstr>
      <vt:lpstr>18 跑道图</vt:lpstr>
      <vt:lpstr>19 南丁格尔圆饼图</vt:lpstr>
      <vt:lpstr>20 南丁格尔圆环图</vt:lpstr>
      <vt:lpstr>20 南丁格尔（PPT）</vt:lpstr>
      <vt:lpstr>22 仪表盘图</vt:lpstr>
      <vt:lpstr>23 柱形折线图</vt:lpstr>
      <vt:lpstr>24 目标柱形图</vt:lpstr>
      <vt:lpstr>25 子弹图</vt:lpstr>
      <vt:lpstr>26 柱形圆</vt:lpstr>
      <vt:lpstr>27 簇状柱形折线图</vt:lpstr>
      <vt:lpstr>28 复合柱形图</vt:lpstr>
      <vt:lpstr>29 滑珠图</vt:lpstr>
      <vt:lpstr>30 对比滑珠图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Xiaoyuan</dc:creator>
  <cp:lastModifiedBy>ShenMY</cp:lastModifiedBy>
  <dcterms:created xsi:type="dcterms:W3CDTF">2015-06-05T18:19:34Z</dcterms:created>
  <dcterms:modified xsi:type="dcterms:W3CDTF">2023-05-18T06:50:28Z</dcterms:modified>
</cp:coreProperties>
</file>