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ml.chartshapes+xml"/>
  <Override PartName="/xl/charts/chart4.xml" ContentType="application/vnd.openxmlformats-officedocument.drawingml.chart+xml"/>
  <Override PartName="/xl/drawings/drawing8.xml" ContentType="application/vnd.openxmlformats-officedocument.drawingml.chartshapes+xml"/>
  <Override PartName="/xl/charts/style6.xml" ContentType="application/vnd.ms-office.chartstyle+xml"/>
  <Override PartName="/xl/worksheets/sheet7.xml" ContentType="application/vnd.openxmlformats-officedocument.spreadsheetml.worksheet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vbaProject.bin" ContentType="application/vnd.ms-office.vbaProject"/>
  <Override PartName="/xl/charts/style4.xml" ContentType="application/vnd.ms-office.chartstyle+xml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ml.chartshapes+xml"/>
  <Override PartName="/xl/ctrlProps/ctrlProp16.xml" ContentType="application/vnd.ms-excel.controlproperties+xml"/>
  <Override PartName="/xl/charts/style2.xml" ContentType="application/vnd.ms-office.chartstyle+xml"/>
  <Override PartName="/xl/worksheets/sheet3.xml" ContentType="application/vnd.openxmlformats-officedocument.spreadsheetml.worksheet+xml"/>
  <Override PartName="/xl/drawings/drawing13.xml" ContentType="application/vnd.openxmlformats-officedocument.drawing+xml"/>
  <Override PartName="/xl/ctrlProps/ctrlProp14.xml" ContentType="application/vnd.ms-excel.controlproperties+xml"/>
  <Override PartName="/xl/charts/colors7.xml" ContentType="application/vnd.ms-office.chartcolorstyle+xml"/>
  <Override PartName="/xl/ctrlProps/ctrlProp8.xml" ContentType="application/vnd.ms-excel.control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drawings/drawing11.xml" ContentType="application/vnd.openxmlformats-officedocument.drawing+xml"/>
  <Override PartName="/xl/ctrlProps/ctrlProp12.xml" ContentType="application/vnd.ms-excel.controlproperties+xml"/>
  <Override PartName="/xl/charts/colors5.xml" ContentType="application/vnd.ms-office.chartcolorstyle+xml"/>
  <Override PartName="/xl/ctrlProps/ctrlProp6.xml" ContentType="application/vnd.ms-excel.controlproperties+xml"/>
  <Override PartName="/xl/sharedStrings.xml" ContentType="application/vnd.openxmlformats-officedocument.spreadsheetml.sharedStrings+xml"/>
  <Override PartName="/xl/drawings/drawing10.xml" ContentType="application/vnd.openxmlformats-officedocument.drawingml.chartshapes+xml"/>
  <Override PartName="/xl/ctrlProps/ctrlProp10.xml" ContentType="application/vnd.ms-excel.controlproperties+xml"/>
  <Override PartName="/xl/ctrlProps/ctrlProp4.xml" ContentType="application/vnd.ms-excel.controlproperties+xml"/>
  <Override PartName="/xl/charts/colors2.xml" ContentType="application/vnd.ms-office.chartcolorstyle+xml"/>
  <Override PartName="/xl/charts/colors3.xml" ContentType="application/vnd.ms-office.chartcolorstyle+xml"/>
  <Override PartName="/xl/ctrlProps/ctrlProp3.xml" ContentType="application/vnd.ms-excel.controlproperties+xml"/>
  <Override PartName="/xl/pivotCache/pivotCacheRecords1.xml" ContentType="application/vnd.openxmlformats-officedocument.spreadsheetml.pivotCacheRecords+xml"/>
  <Override PartName="/xl/slicers/slicer1.xml" ContentType="application/vnd.ms-excel.slicer+xml"/>
  <Override PartName="/xl/ctrlProps/ctrlProp2.xml" ContentType="application/vnd.ms-excel.controlproperties+xml"/>
  <Override PartName="/xl/charts/colors1.xml" ContentType="application/vnd.ms-office.chartcolorstyle+xml"/>
  <Override PartName="/xl/ctrlProps/ctrlProp1.xml" ContentType="application/vnd.ms-excel.controlproperties+xml"/>
  <Override PartName="/docProps/core.xml" ContentType="application/vnd.openxmlformats-package.core-properties+xml"/>
  <Default Extension="bin" ContentType="application/vnd.openxmlformats-officedocument.spreadsheetml.printerSettings"/>
  <Override PartName="/xl/drawings/drawing9.xml" ContentType="application/vnd.openxmlformats-officedocument.drawing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slicerCaches/slicerCache1.xml" ContentType="application/vnd.ms-excel.slicerCache+xml"/>
  <Override PartName="/xl/charts/style7.xml" ContentType="application/vnd.ms-office.chartsty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pivotTables/pivotTable1.xml" ContentType="application/vnd.openxmlformats-officedocument.spreadsheetml.pivotTable+xml"/>
  <Override PartName="/xl/charts/style5.xml" ContentType="application/vnd.ms-office.chartsty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9.xml" ContentType="application/vnd.ms-excel.controlproperties+xml"/>
  <Override PartName="/xl/charts/style3.xml" ContentType="application/vnd.ms-office.chartstyle+xml"/>
  <Override PartName="/xl/charts/style1.xml" ContentType="application/vnd.ms-office.chartsty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Override PartName="/xl/drawings/drawing14.xml" ContentType="application/vnd.openxmlformats-officedocument.drawingml.chartshapes+xml"/>
  <Override PartName="/xl/ctrlProps/ctrlProp13.xml" ContentType="application/vnd.ms-excel.controlproperties+xml"/>
  <Override PartName="/xl/charts/colors6.xml" ContentType="application/vnd.ms-office.chartcolorstyle+xml"/>
  <Override PartName="/xl/ctrlProps/ctrlProp7.xml" ContentType="application/vnd.ms-excel.controlproperties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drawings/drawing12.xml" ContentType="application/vnd.openxmlformats-officedocument.drawingml.chartshapes+xml"/>
  <Override PartName="/xl/calcChain.xml" ContentType="application/vnd.openxmlformats-officedocument.spreadsheetml.calcChain+xml"/>
  <Override PartName="/xl/ctrlProps/ctrlProp11.xml" ContentType="application/vnd.ms-excel.controlproperties+xml"/>
  <Override PartName="/xl/charts/colors4.xml" ContentType="application/vnd.ms-office.chartcolorstyle+xml"/>
  <Override PartName="/xl/ctrlProps/ctrlProp5.xml" ContentType="application/vnd.ms-excel.contro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6" codeName="{AE6600E7-7A62-396C-DE95-9942FA9DD81E}"/>
  <workbookPr codeName="ThisWorkbook" hidePivotFieldList="1"/>
  <bookViews>
    <workbookView xWindow="-105" yWindow="-105" windowWidth="21840" windowHeight="13740" tabRatio="939" activeTab="4"/>
  </bookViews>
  <sheets>
    <sheet name="1 动态柱形图" sheetId="8" r:id="rId1"/>
    <sheet name="2 动态跑道图" sheetId="17" r:id="rId2"/>
    <sheet name="3 动态南丁格尔圆环图" sheetId="20" r:id="rId3"/>
    <sheet name="4 动态组合图" sheetId="23" r:id="rId4"/>
    <sheet name="5 人力资源明细" sheetId="30" r:id="rId5"/>
    <sheet name="5 透视表切片器" sheetId="29" r:id="rId6"/>
    <sheet name="6 VBA动态玉玦图" sheetId="28" r:id="rId7"/>
    <sheet name="7 动态滑珠图" sheetId="25" r:id="rId8"/>
  </sheets>
  <externalReferences>
    <externalReference r:id="rId9"/>
    <externalReference r:id="rId10"/>
  </externalReferences>
  <definedNames>
    <definedName name="_xlnm._FilterDatabase" localSheetId="4" hidden="1">'5 人力资源明细'!$A$1:$F$1471</definedName>
    <definedName name="分布">#REF!</definedName>
    <definedName name="切换">INDIRECT(#REF!)</definedName>
    <definedName name="切片器_部门">#N/A</definedName>
    <definedName name="图表" localSheetId="3">OFFSET('[1]动态前N名 (2)'!$C$2,1,,'[1]动态前N名 (2)'!$E$5,1)</definedName>
    <definedName name="图表" localSheetId="7">OFFSET('7 动态滑珠图'!$C$2,1,,'7 动态滑珠图'!$E$5,1)</definedName>
    <definedName name="图表">OFFSET('[2]动态前N名 (2)'!$C$2,1,,'[2]动态前N名 (2)'!$E$5,1)</definedName>
    <definedName name="图表2" localSheetId="3">OFFSET([1]动态前N名!$G$2,1,,[1]动态前N名!$D$10,1)</definedName>
    <definedName name="图表2">OFFSET([2]动态前N名!$G$2,1,,[2]动态前N名!$D$10,1)</definedName>
    <definedName name="占比">#REF!</definedName>
  </definedNames>
  <calcPr calcId="191029"/>
  <pivotCaches>
    <pivotCache cacheId="0" r:id="rId11"/>
  </pivotCaches>
  <extLst xmlns:x14="http://schemas.microsoft.com/office/spreadsheetml/2009/9/main">
    <ext uri="{BBE1A952-AA13-448e-AADC-164F8A28A991}">
      <x14:slicerCaches>
        <x14:slicerCache r:id="rId13"/>
      </x14:slicerCaches>
    </ext>
    <ext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4" i="17"/>
  <c r="I3"/>
  <c r="C10"/>
  <c r="B13" i="8"/>
  <c r="C13" s="1"/>
  <c r="B11" i="28" l="1"/>
  <c r="C11" s="1"/>
  <c r="C12" l="1"/>
  <c r="E11"/>
  <c r="E12" s="1"/>
  <c r="D11"/>
  <c r="D12" s="1"/>
  <c r="F11"/>
  <c r="F12" s="1"/>
  <c r="C15" i="25"/>
  <c r="D15" s="1"/>
  <c r="C16"/>
  <c r="D16" s="1"/>
  <c r="C17"/>
  <c r="D17" s="1"/>
  <c r="C18"/>
  <c r="D18" s="1"/>
  <c r="C19"/>
  <c r="D19" s="1"/>
  <c r="C20"/>
  <c r="D20" s="1"/>
  <c r="B16"/>
  <c r="B17"/>
  <c r="B18"/>
  <c r="B19"/>
  <c r="B20"/>
  <c r="B15"/>
  <c r="E18" l="1"/>
  <c r="E20"/>
  <c r="E19"/>
  <c r="E17"/>
  <c r="E16"/>
  <c r="E15"/>
  <c r="F19" i="23"/>
  <c r="F18"/>
  <c r="C19"/>
  <c r="D19"/>
  <c r="E19"/>
  <c r="D20"/>
  <c r="E20"/>
  <c r="C20"/>
  <c r="D18"/>
  <c r="E18"/>
  <c r="C18"/>
  <c r="B19"/>
  <c r="B20"/>
  <c r="B18"/>
  <c r="F6"/>
  <c r="F20" s="1"/>
  <c r="E6"/>
  <c r="D6"/>
  <c r="C6"/>
  <c r="B13" i="20"/>
  <c r="C13"/>
  <c r="D13"/>
  <c r="E13"/>
  <c r="F13"/>
  <c r="G13"/>
  <c r="I5" i="17" l="1"/>
  <c r="I6"/>
  <c r="I7"/>
  <c r="I8"/>
  <c r="I9"/>
  <c r="D10"/>
  <c r="E10"/>
  <c r="I10" s="1"/>
  <c r="F10"/>
  <c r="J4" l="1"/>
  <c r="D13" i="8"/>
  <c r="E13" l="1"/>
  <c r="H13"/>
  <c r="F13"/>
  <c r="G13"/>
  <c r="J9" i="17"/>
  <c r="J5"/>
  <c r="J6"/>
  <c r="J7"/>
  <c r="J8"/>
</calcChain>
</file>

<file path=xl/sharedStrings.xml><?xml version="1.0" encoding="utf-8"?>
<sst xmlns="http://schemas.openxmlformats.org/spreadsheetml/2006/main" count="6027" uniqueCount="106">
  <si>
    <t>华北</t>
  </si>
  <si>
    <t>华南</t>
  </si>
  <si>
    <t>东北</t>
  </si>
  <si>
    <t>西北</t>
  </si>
  <si>
    <t>西南</t>
  </si>
  <si>
    <t>华东</t>
  </si>
  <si>
    <t>2月</t>
  </si>
  <si>
    <t>3月</t>
  </si>
  <si>
    <t>4月</t>
  </si>
  <si>
    <t>口红</t>
    <phoneticPr fontId="1" type="noConversion"/>
  </si>
  <si>
    <t>面膜</t>
    <phoneticPr fontId="1" type="noConversion"/>
  </si>
  <si>
    <t>隔离</t>
    <phoneticPr fontId="1" type="noConversion"/>
  </si>
  <si>
    <t>5月</t>
  </si>
  <si>
    <t>6月</t>
  </si>
  <si>
    <t>月份</t>
    <phoneticPr fontId="1" type="noConversion"/>
  </si>
  <si>
    <t>类别</t>
    <phoneticPr fontId="1" type="noConversion"/>
  </si>
  <si>
    <t>占位</t>
    <phoneticPr fontId="1" type="noConversion"/>
  </si>
  <si>
    <t>数据源</t>
    <phoneticPr fontId="1" type="noConversion"/>
  </si>
  <si>
    <t>源数据</t>
    <phoneticPr fontId="1" type="noConversion"/>
  </si>
  <si>
    <t>图表数据</t>
    <phoneticPr fontId="1" type="noConversion"/>
  </si>
  <si>
    <t>1月</t>
  </si>
  <si>
    <t>控件单元格</t>
    <phoneticPr fontId="1" type="noConversion"/>
  </si>
  <si>
    <t>部门</t>
  </si>
  <si>
    <t>人力部</t>
  </si>
  <si>
    <t>财务部</t>
  </si>
  <si>
    <t>工程部</t>
  </si>
  <si>
    <t>采购部</t>
  </si>
  <si>
    <t>销售部</t>
  </si>
  <si>
    <t>1月</t>
    <phoneticPr fontId="1" type="noConversion"/>
  </si>
  <si>
    <t>2月</t>
    <phoneticPr fontId="1" type="noConversion"/>
  </si>
  <si>
    <t>3月</t>
    <phoneticPr fontId="1" type="noConversion"/>
  </si>
  <si>
    <t>4月</t>
    <phoneticPr fontId="1" type="noConversion"/>
  </si>
  <si>
    <t>说明</t>
  </si>
  <si>
    <t>说明</t>
    <phoneticPr fontId="1" type="noConversion"/>
  </si>
  <si>
    <t>C3&amp;"公司总人数为"&amp;SUM(C4:C9)</t>
    <phoneticPr fontId="1" type="noConversion"/>
  </si>
  <si>
    <t>C10公式</t>
    <phoneticPr fontId="1" type="noConversion"/>
  </si>
  <si>
    <t>行政部</t>
    <phoneticPr fontId="1" type="noConversion"/>
  </si>
  <si>
    <t>控件输入</t>
    <phoneticPr fontId="1" type="noConversion"/>
  </si>
  <si>
    <t>周期</t>
    <phoneticPr fontId="1" type="noConversion"/>
  </si>
  <si>
    <t>首页推荐</t>
    <phoneticPr fontId="1" type="noConversion"/>
  </si>
  <si>
    <t>关注页面</t>
    <phoneticPr fontId="1" type="noConversion"/>
  </si>
  <si>
    <t>搜索</t>
    <phoneticPr fontId="1" type="noConversion"/>
  </si>
  <si>
    <t>个人主页</t>
    <phoneticPr fontId="1" type="noConversion"/>
  </si>
  <si>
    <t>其他来源</t>
    <phoneticPr fontId="1" type="noConversion"/>
  </si>
  <si>
    <t>近7天</t>
    <phoneticPr fontId="1" type="noConversion"/>
  </si>
  <si>
    <t>近30天</t>
    <phoneticPr fontId="1" type="noConversion"/>
  </si>
  <si>
    <t>粉底液</t>
    <phoneticPr fontId="1" type="noConversion"/>
  </si>
  <si>
    <t>销售额</t>
    <phoneticPr fontId="1" type="noConversion"/>
  </si>
  <si>
    <t>利润</t>
    <phoneticPr fontId="1" type="noConversion"/>
  </si>
  <si>
    <t>利润率</t>
    <phoneticPr fontId="1" type="noConversion"/>
  </si>
  <si>
    <t>IF($C$13,F4,-100)</t>
    <phoneticPr fontId="1" type="noConversion"/>
  </si>
  <si>
    <t>IF($D$13,F5,-200)</t>
  </si>
  <si>
    <t>IF($E$13,F6,-2)</t>
  </si>
  <si>
    <t>辅助</t>
    <phoneticPr fontId="1" type="noConversion"/>
  </si>
  <si>
    <t>未完成率</t>
    <phoneticPr fontId="1" type="noConversion"/>
  </si>
  <si>
    <t>区域</t>
    <phoneticPr fontId="1" type="noConversion"/>
  </si>
  <si>
    <t>图表字段</t>
    <phoneticPr fontId="1" type="noConversion"/>
  </si>
  <si>
    <t>筛选字段</t>
    <phoneticPr fontId="1" type="noConversion"/>
  </si>
  <si>
    <t>选项输入</t>
    <phoneticPr fontId="1" type="noConversion"/>
  </si>
  <si>
    <t>图表数据</t>
  </si>
  <si>
    <t>完成率</t>
    <phoneticPr fontId="1" type="noConversion"/>
  </si>
  <si>
    <t>组合框输入</t>
    <phoneticPr fontId="1" type="noConversion"/>
  </si>
  <si>
    <t>占位</t>
    <phoneticPr fontId="1" type="noConversion"/>
  </si>
  <si>
    <t>搜索</t>
  </si>
  <si>
    <t>个人主页</t>
  </si>
  <si>
    <t>=INDEX(B4:B9,J3)</t>
    <phoneticPr fontId="1" type="noConversion"/>
  </si>
  <si>
    <t>B13公式</t>
    <phoneticPr fontId="1" type="noConversion"/>
  </si>
  <si>
    <t>C13公式</t>
    <phoneticPr fontId="1" type="noConversion"/>
  </si>
  <si>
    <t>=VLOOKUP($B$13,$B$3:$H$9,COLUMN(B2),0)</t>
    <phoneticPr fontId="1" type="noConversion"/>
  </si>
  <si>
    <t>I3公式</t>
    <phoneticPr fontId="1" type="noConversion"/>
  </si>
  <si>
    <t>=G17</t>
    <phoneticPr fontId="1" type="noConversion"/>
  </si>
  <si>
    <t>总计</t>
  </si>
  <si>
    <t>专科</t>
  </si>
  <si>
    <t>硕士</t>
  </si>
  <si>
    <t>高中</t>
  </si>
  <si>
    <t>博士</t>
  </si>
  <si>
    <t>本科</t>
  </si>
  <si>
    <t>平均值项:月收入</t>
  </si>
  <si>
    <t>行标签</t>
  </si>
  <si>
    <t>zq</t>
    <phoneticPr fontId="20" type="noConversion"/>
  </si>
  <si>
    <t>男</t>
    <phoneticPr fontId="20" type="noConversion"/>
  </si>
  <si>
    <t>30-39</t>
  </si>
  <si>
    <t>本科</t>
    <phoneticPr fontId="20" type="noConversion"/>
  </si>
  <si>
    <t>市场拓展</t>
    <phoneticPr fontId="20" type="noConversion"/>
  </si>
  <si>
    <t>40-49</t>
  </si>
  <si>
    <t>销售</t>
    <phoneticPr fontId="20" type="noConversion"/>
  </si>
  <si>
    <t>20-29</t>
  </si>
  <si>
    <t>高中</t>
    <phoneticPr fontId="20" type="noConversion"/>
  </si>
  <si>
    <t>专科</t>
    <phoneticPr fontId="20" type="noConversion"/>
  </si>
  <si>
    <t>女</t>
    <phoneticPr fontId="20" type="noConversion"/>
  </si>
  <si>
    <t>&gt;=50</t>
  </si>
  <si>
    <t>硕士</t>
    <phoneticPr fontId="20" type="noConversion"/>
  </si>
  <si>
    <t>行政</t>
    <phoneticPr fontId="20" type="noConversion"/>
  </si>
  <si>
    <t>人力资源</t>
    <phoneticPr fontId="20" type="noConversion"/>
  </si>
  <si>
    <t>博士</t>
    <phoneticPr fontId="20" type="noConversion"/>
  </si>
  <si>
    <t>20-29</t>
    <phoneticPr fontId="20" type="noConversion"/>
  </si>
  <si>
    <t>财务</t>
    <phoneticPr fontId="20" type="noConversion"/>
  </si>
  <si>
    <t>后勤</t>
    <phoneticPr fontId="20" type="noConversion"/>
  </si>
  <si>
    <t>工程</t>
    <phoneticPr fontId="20" type="noConversion"/>
  </si>
  <si>
    <t>学历</t>
    <phoneticPr fontId="20" type="noConversion"/>
  </si>
  <si>
    <t>部门</t>
    <phoneticPr fontId="20" type="noConversion"/>
  </si>
  <si>
    <t>年龄</t>
    <phoneticPr fontId="20" type="noConversion"/>
  </si>
  <si>
    <t>员工号</t>
  </si>
  <si>
    <t>月收入</t>
    <phoneticPr fontId="20" type="noConversion"/>
  </si>
  <si>
    <t>性别</t>
    <phoneticPr fontId="20" type="noConversion"/>
  </si>
  <si>
    <t>年龄分段</t>
    <phoneticPr fontId="20" type="noConversion"/>
  </si>
</sst>
</file>

<file path=xl/styles.xml><?xml version="1.0" encoding="utf-8"?>
<styleSheet xmlns="http://schemas.openxmlformats.org/spreadsheetml/2006/main">
  <numFmts count="1">
    <numFmt numFmtId="176" formatCode="0.00_);[Red]\(0.00\)"/>
  </numFmts>
  <fonts count="23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sz val="10"/>
      <color theme="1"/>
      <name val="等线"/>
      <family val="3"/>
      <charset val="134"/>
      <scheme val="minor"/>
    </font>
    <font>
      <b/>
      <sz val="11"/>
      <color theme="0" tint="-4.9989318521683403E-2"/>
      <name val="等线"/>
      <family val="3"/>
      <charset val="134"/>
      <scheme val="minor"/>
    </font>
    <font>
      <sz val="11"/>
      <color theme="0"/>
      <name val="等线"/>
      <family val="2"/>
      <scheme val="minor"/>
    </font>
    <font>
      <sz val="11"/>
      <color theme="0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8"/>
      <color theme="0" tint="-4.9989318521683403E-2"/>
      <name val="等线"/>
      <family val="3"/>
      <charset val="134"/>
      <scheme val="minor"/>
    </font>
    <font>
      <b/>
      <sz val="12"/>
      <color theme="0"/>
      <name val="等线"/>
      <family val="3"/>
      <charset val="134"/>
      <scheme val="minor"/>
    </font>
    <font>
      <sz val="10"/>
      <color theme="1"/>
      <name val="等线"/>
      <family val="2"/>
      <scheme val="minor"/>
    </font>
    <font>
      <sz val="11"/>
      <name val="等线"/>
      <family val="3"/>
      <charset val="134"/>
      <scheme val="minor"/>
    </font>
    <font>
      <sz val="10"/>
      <name val="等线"/>
      <family val="3"/>
      <charset val="134"/>
      <scheme val="minor"/>
    </font>
    <font>
      <b/>
      <sz val="9"/>
      <color theme="0" tint="-4.9989318521683403E-2"/>
      <name val="等线"/>
      <family val="3"/>
      <charset val="134"/>
      <scheme val="minor"/>
    </font>
    <font>
      <b/>
      <sz val="10"/>
      <color theme="0" tint="-4.9989318521683403E-2"/>
      <name val="等线"/>
      <family val="3"/>
      <charset val="134"/>
      <scheme val="minor"/>
    </font>
    <font>
      <b/>
      <sz val="10"/>
      <color theme="1"/>
      <name val="等线"/>
      <family val="3"/>
      <charset val="134"/>
      <scheme val="minor"/>
    </font>
    <font>
      <sz val="11"/>
      <color rgb="FF1A1E43"/>
      <name val="等线"/>
      <family val="2"/>
      <scheme val="minor"/>
    </font>
    <font>
      <sz val="10"/>
      <color theme="0" tint="-4.9989318521683403E-2"/>
      <name val="等线"/>
      <family val="2"/>
      <scheme val="minor"/>
    </font>
    <font>
      <b/>
      <sz val="10"/>
      <color theme="0"/>
      <name val="等线"/>
      <family val="3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9"/>
      <color rgb="FF000000"/>
      <name val="Microsoft YaHei UI"/>
      <charset val="134"/>
    </font>
    <font>
      <sz val="11"/>
      <color rgb="FF000000"/>
      <name val="等线"/>
      <charset val="13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1A1E43"/>
        <bgColor indexed="64"/>
      </patternFill>
    </fill>
    <fill>
      <patternFill patternType="solid">
        <fgColor rgb="FF11A7AD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5C353"/>
        <bgColor indexed="64"/>
      </patternFill>
    </fill>
    <fill>
      <patternFill patternType="solid">
        <fgColor rgb="FF4A5BD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512DCB"/>
        <bgColor indexed="64"/>
      </patternFill>
    </fill>
  </fills>
  <borders count="20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rgb="FF66CBDD"/>
      </left>
      <right/>
      <top/>
      <bottom/>
      <diagonal/>
    </border>
    <border>
      <left/>
      <right style="thin">
        <color rgb="FF66CBDD"/>
      </right>
      <top/>
      <bottom/>
      <diagonal/>
    </border>
    <border>
      <left style="thin">
        <color rgb="FF66CBDD"/>
      </left>
      <right/>
      <top/>
      <bottom style="thin">
        <color rgb="FF66CBDD"/>
      </bottom>
      <diagonal/>
    </border>
    <border>
      <left/>
      <right/>
      <top/>
      <bottom style="thin">
        <color rgb="FF66CBDD"/>
      </bottom>
      <diagonal/>
    </border>
    <border>
      <left/>
      <right style="thin">
        <color rgb="FF66CBDD"/>
      </right>
      <top/>
      <bottom style="thin">
        <color rgb="FF66CBDD"/>
      </bottom>
      <diagonal/>
    </border>
    <border>
      <left style="thin">
        <color rgb="FFF5C353"/>
      </left>
      <right/>
      <top style="thin">
        <color rgb="FFF5C353"/>
      </top>
      <bottom/>
      <diagonal/>
    </border>
    <border>
      <left/>
      <right/>
      <top style="thin">
        <color rgb="FFF5C353"/>
      </top>
      <bottom/>
      <diagonal/>
    </border>
    <border>
      <left/>
      <right style="thin">
        <color rgb="FFF5C353"/>
      </right>
      <top style="thin">
        <color rgb="FFF5C353"/>
      </top>
      <bottom/>
      <diagonal/>
    </border>
    <border>
      <left style="thin">
        <color rgb="FF11A7AD"/>
      </left>
      <right style="thin">
        <color rgb="FF11A7AD"/>
      </right>
      <top style="thin">
        <color rgb="FF11A7AD"/>
      </top>
      <bottom style="thin">
        <color rgb="FF11A7AD"/>
      </bottom>
      <diagonal/>
    </border>
    <border>
      <left style="thin">
        <color rgb="FFF5C353"/>
      </left>
      <right style="thin">
        <color rgb="FFF5C353"/>
      </right>
      <top style="thin">
        <color rgb="FFF5C353"/>
      </top>
      <bottom style="thin">
        <color rgb="FFF5C353"/>
      </bottom>
      <diagonal/>
    </border>
    <border>
      <left style="thin">
        <color rgb="FF11A7AD"/>
      </left>
      <right/>
      <top/>
      <bottom style="thin">
        <color rgb="FF11A7AD"/>
      </bottom>
      <diagonal/>
    </border>
    <border>
      <left/>
      <right/>
      <top/>
      <bottom style="thin">
        <color rgb="FF11A7AD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5C353"/>
      </left>
      <right/>
      <top/>
      <bottom/>
      <diagonal/>
    </border>
    <border>
      <left style="thin">
        <color rgb="FF7030A0"/>
      </left>
      <right style="thin">
        <color rgb="FF7030A0"/>
      </right>
      <top style="thin">
        <color rgb="FF7030A0"/>
      </top>
      <bottom style="thin">
        <color rgb="FF7030A0"/>
      </bottom>
      <diagonal/>
    </border>
    <border>
      <left style="thin">
        <color rgb="FF49A098"/>
      </left>
      <right style="thin">
        <color rgb="FF49A098"/>
      </right>
      <top style="thin">
        <color rgb="FF49A098"/>
      </top>
      <bottom style="thin">
        <color rgb="FF49A098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74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9" fontId="3" fillId="0" borderId="0" xfId="1" applyFont="1" applyBorder="1" applyAlignment="1">
      <alignment horizontal="center" vertical="center"/>
    </xf>
    <xf numFmtId="9" fontId="3" fillId="0" borderId="5" xfId="1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9" fontId="3" fillId="0" borderId="7" xfId="1" applyFont="1" applyBorder="1" applyAlignment="1">
      <alignment horizontal="center" vertical="center"/>
    </xf>
    <xf numFmtId="9" fontId="3" fillId="0" borderId="8" xfId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8" borderId="0" xfId="0" applyFont="1" applyFill="1"/>
    <xf numFmtId="9" fontId="3" fillId="0" borderId="4" xfId="1" applyFont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49" fontId="11" fillId="0" borderId="12" xfId="0" applyNumberFormat="1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9" fontId="11" fillId="0" borderId="12" xfId="1" applyFont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49" fontId="11" fillId="0" borderId="13" xfId="0" applyNumberFormat="1" applyFont="1" applyBorder="1" applyAlignment="1">
      <alignment horizontal="center" vertical="center"/>
    </xf>
    <xf numFmtId="9" fontId="11" fillId="0" borderId="13" xfId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9" fontId="0" fillId="0" borderId="12" xfId="1" applyFont="1" applyBorder="1" applyAlignment="1">
      <alignment horizontal="center"/>
    </xf>
    <xf numFmtId="9" fontId="0" fillId="0" borderId="0" xfId="1" applyFont="1" applyBorder="1" applyAlignment="1">
      <alignment horizontal="center"/>
    </xf>
    <xf numFmtId="9" fontId="11" fillId="0" borderId="0" xfId="1" applyFont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9" fontId="12" fillId="0" borderId="16" xfId="1" applyFont="1" applyBorder="1" applyAlignment="1">
      <alignment horizontal="center" vertical="center"/>
    </xf>
    <xf numFmtId="0" fontId="3" fillId="0" borderId="16" xfId="0" applyFont="1" applyBorder="1" applyAlignment="1">
      <alignment horizontal="center"/>
    </xf>
    <xf numFmtId="0" fontId="0" fillId="0" borderId="18" xfId="0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9" fontId="3" fillId="0" borderId="13" xfId="1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10" fillId="0" borderId="19" xfId="0" applyFont="1" applyBorder="1" applyAlignment="1">
      <alignment horizontal="center" vertical="center"/>
    </xf>
    <xf numFmtId="9" fontId="3" fillId="0" borderId="19" xfId="1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2" borderId="1" xfId="0" applyFont="1" applyFill="1" applyBorder="1" applyAlignment="1">
      <alignment horizontal="center" vertical="center"/>
    </xf>
    <xf numFmtId="0" fontId="5" fillId="7" borderId="0" xfId="0" applyFont="1" applyFill="1"/>
    <xf numFmtId="49" fontId="0" fillId="0" borderId="0" xfId="0" applyNumberFormat="1"/>
    <xf numFmtId="49" fontId="7" fillId="0" borderId="0" xfId="0" applyNumberFormat="1" applyFont="1"/>
    <xf numFmtId="0" fontId="3" fillId="0" borderId="0" xfId="0" applyFont="1" applyAlignment="1">
      <alignment horizontal="left"/>
    </xf>
    <xf numFmtId="0" fontId="15" fillId="0" borderId="0" xfId="0" applyFont="1" applyAlignment="1">
      <alignment horizontal="center"/>
    </xf>
    <xf numFmtId="0" fontId="15" fillId="0" borderId="0" xfId="0" applyFont="1" applyAlignment="1">
      <alignment horizontal="left"/>
    </xf>
    <xf numFmtId="0" fontId="3" fillId="2" borderId="3" xfId="0" applyFont="1" applyFill="1" applyBorder="1" applyAlignment="1">
      <alignment horizontal="center" vertical="center"/>
    </xf>
    <xf numFmtId="0" fontId="3" fillId="0" borderId="0" xfId="1" applyNumberFormat="1" applyFont="1" applyAlignment="1">
      <alignment horizontal="left" vertical="center"/>
    </xf>
    <xf numFmtId="0" fontId="3" fillId="0" borderId="0" xfId="0" applyFont="1"/>
    <xf numFmtId="0" fontId="16" fillId="3" borderId="0" xfId="0" applyFont="1" applyFill="1"/>
    <xf numFmtId="0" fontId="16" fillId="3" borderId="0" xfId="0" applyFont="1" applyFill="1" applyAlignment="1">
      <alignment horizontal="center"/>
    </xf>
    <xf numFmtId="0" fontId="17" fillId="3" borderId="0" xfId="0" applyFont="1" applyFill="1"/>
    <xf numFmtId="0" fontId="8" fillId="3" borderId="0" xfId="0" applyFont="1" applyFill="1" applyAlignment="1">
      <alignment horizontal="right"/>
    </xf>
    <xf numFmtId="0" fontId="8" fillId="3" borderId="0" xfId="0" applyFont="1" applyFill="1" applyAlignment="1">
      <alignment horizontal="center" vertical="center"/>
    </xf>
    <xf numFmtId="0" fontId="19" fillId="0" borderId="0" xfId="2">
      <alignment vertical="center"/>
    </xf>
    <xf numFmtId="176" fontId="19" fillId="0" borderId="0" xfId="2" applyNumberFormat="1">
      <alignment vertical="center"/>
    </xf>
    <xf numFmtId="0" fontId="19" fillId="0" borderId="0" xfId="2" applyAlignment="1">
      <alignment horizontal="center" vertical="center"/>
    </xf>
    <xf numFmtId="176" fontId="0" fillId="0" borderId="0" xfId="0" applyNumberFormat="1"/>
    <xf numFmtId="176" fontId="0" fillId="0" borderId="0" xfId="0" pivotButton="1" applyNumberFormat="1"/>
    <xf numFmtId="176" fontId="0" fillId="0" borderId="0" xfId="0" applyNumberFormat="1" applyAlignment="1">
      <alignment horizontal="left"/>
    </xf>
    <xf numFmtId="0" fontId="14" fillId="6" borderId="0" xfId="0" applyFont="1" applyFill="1" applyAlignment="1">
      <alignment horizontal="center" vertical="center"/>
    </xf>
    <xf numFmtId="0" fontId="13" fillId="4" borderId="2" xfId="0" applyFont="1" applyFill="1" applyBorder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/>
    </xf>
    <xf numFmtId="0" fontId="6" fillId="5" borderId="2" xfId="0" applyFont="1" applyFill="1" applyBorder="1" applyAlignment="1">
      <alignment horizontal="center"/>
    </xf>
    <xf numFmtId="9" fontId="18" fillId="5" borderId="9" xfId="1" applyFont="1" applyFill="1" applyBorder="1" applyAlignment="1">
      <alignment horizontal="center" vertical="center"/>
    </xf>
    <xf numFmtId="9" fontId="18" fillId="5" borderId="10" xfId="1" applyFont="1" applyFill="1" applyBorder="1" applyAlignment="1">
      <alignment horizontal="center" vertical="center"/>
    </xf>
    <xf numFmtId="9" fontId="18" fillId="5" borderId="11" xfId="1" applyFont="1" applyFill="1" applyBorder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9" fontId="9" fillId="5" borderId="13" xfId="1" applyFont="1" applyFill="1" applyBorder="1" applyAlignment="1">
      <alignment horizontal="center" vertical="center"/>
    </xf>
    <xf numFmtId="0" fontId="4" fillId="4" borderId="19" xfId="0" applyFont="1" applyFill="1" applyBorder="1" applyAlignment="1">
      <alignment horizontal="center" vertical="center"/>
    </xf>
    <xf numFmtId="0" fontId="4" fillId="4" borderId="14" xfId="0" applyFont="1" applyFill="1" applyBorder="1" applyAlignment="1">
      <alignment horizontal="center" vertical="center"/>
    </xf>
    <xf numFmtId="0" fontId="4" fillId="4" borderId="15" xfId="0" applyFont="1" applyFill="1" applyBorder="1" applyAlignment="1">
      <alignment horizontal="center" vertical="center"/>
    </xf>
    <xf numFmtId="0" fontId="6" fillId="9" borderId="18" xfId="0" applyFont="1" applyFill="1" applyBorder="1" applyAlignment="1">
      <alignment horizontal="center"/>
    </xf>
    <xf numFmtId="0" fontId="0" fillId="9" borderId="18" xfId="0" applyFill="1" applyBorder="1" applyAlignment="1">
      <alignment horizontal="center"/>
    </xf>
    <xf numFmtId="9" fontId="9" fillId="5" borderId="17" xfId="1" applyFont="1" applyFill="1" applyBorder="1" applyAlignment="1">
      <alignment horizontal="center" vertical="center"/>
    </xf>
    <xf numFmtId="9" fontId="9" fillId="5" borderId="0" xfId="1" applyFont="1" applyFill="1" applyBorder="1" applyAlignment="1">
      <alignment horizontal="center" vertical="center"/>
    </xf>
  </cellXfs>
  <cellStyles count="3">
    <cellStyle name="百分比" xfId="1" builtinId="5"/>
    <cellStyle name="常规" xfId="0" builtinId="0"/>
    <cellStyle name="常规 2" xfId="2"/>
  </cellStyles>
  <dxfs count="6">
    <dxf>
      <numFmt numFmtId="176" formatCode="0.00_);[Red]\(0.00\)"/>
    </dxf>
    <dxf>
      <numFmt numFmtId="176" formatCode="0.00_);[Red]\(0.00\)"/>
    </dxf>
    <dxf>
      <numFmt numFmtId="176" formatCode="0.00_);[Red]\(0.00\)"/>
    </dxf>
    <dxf>
      <numFmt numFmtId="176" formatCode="0.00_);[Red]\(0.00\)"/>
    </dxf>
    <dxf>
      <numFmt numFmtId="176" formatCode="0.00_);[Red]\(0.00\)"/>
    </dxf>
    <dxf>
      <numFmt numFmtId="176" formatCode="0.00_);[Red]\(0.00\)"/>
    </dxf>
  </dxfs>
  <tableStyles count="1" defaultTableStyle="TableStyleMedium2" defaultPivotStyle="PivotStyleLight16">
    <tableStyle name="Invisible" pivot="0" table="0" count="0"/>
  </tableStyles>
  <colors>
    <mruColors>
      <color rgb="FF1A1E43"/>
      <color rgb="FF0097E0"/>
      <color rgb="FFE66B4C"/>
      <color rgb="FF11A7AD"/>
      <color rgb="FF7BBDD5"/>
      <color rgb="FFE74E69"/>
      <color rgb="FF49A098"/>
      <color rgb="FF6073F3"/>
      <color rgb="FF4A5BD1"/>
      <color rgb="FF7030A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microsoft.com/office/2011/relationships/chartStyle" Target="style1.xml"/><Relationship Id="rId2" Type="http://schemas.microsoft.com/office/2011/relationships/chartColorStyle" Target="colors1.xml"/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3" Type="http://schemas.microsoft.com/office/2011/relationships/chartStyle" Target="style2.xml"/><Relationship Id="rId2" Type="http://schemas.microsoft.com/office/2011/relationships/chartColorStyle" Target="colors2.xml"/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3" Type="http://schemas.microsoft.com/office/2011/relationships/chartStyle" Target="style3.xml"/><Relationship Id="rId2" Type="http://schemas.microsoft.com/office/2011/relationships/chartColorStyle" Target="colors3.xml"/><Relationship Id="rId1" Type="http://schemas.openxmlformats.org/officeDocument/2006/relationships/chartUserShapes" Target="../drawings/drawing6.xml"/></Relationships>
</file>

<file path=xl/charts/_rels/chart4.xml.rels><?xml version="1.0" encoding="UTF-8" standalone="yes"?>
<Relationships xmlns="http://schemas.openxmlformats.org/package/2006/relationships"><Relationship Id="rId3" Type="http://schemas.microsoft.com/office/2011/relationships/chartStyle" Target="style4.xml"/><Relationship Id="rId2" Type="http://schemas.microsoft.com/office/2011/relationships/chartColorStyle" Target="colors4.xml"/><Relationship Id="rId1" Type="http://schemas.openxmlformats.org/officeDocument/2006/relationships/chartUserShapes" Target="../drawings/drawing8.xml"/></Relationships>
</file>

<file path=xl/charts/_rels/chart5.xml.rels><?xml version="1.0" encoding="UTF-8" standalone="yes"?>
<Relationships xmlns="http://schemas.openxmlformats.org/package/2006/relationships"><Relationship Id="rId3" Type="http://schemas.microsoft.com/office/2011/relationships/chartStyle" Target="style5.xml"/><Relationship Id="rId2" Type="http://schemas.microsoft.com/office/2011/relationships/chartColorStyle" Target="colors5.xml"/><Relationship Id="rId1" Type="http://schemas.openxmlformats.org/officeDocument/2006/relationships/chartUserShapes" Target="../drawings/drawing10.xml"/></Relationships>
</file>

<file path=xl/charts/_rels/chart6.xml.rels><?xml version="1.0" encoding="UTF-8" standalone="yes"?>
<Relationships xmlns="http://schemas.openxmlformats.org/package/2006/relationships"><Relationship Id="rId3" Type="http://schemas.microsoft.com/office/2011/relationships/chartStyle" Target="style6.xml"/><Relationship Id="rId2" Type="http://schemas.microsoft.com/office/2011/relationships/chartColorStyle" Target="colors6.xml"/><Relationship Id="rId1" Type="http://schemas.openxmlformats.org/officeDocument/2006/relationships/chartUserShapes" Target="../drawings/drawing12.xml"/></Relationships>
</file>

<file path=xl/charts/_rels/chart7.xml.rels><?xml version="1.0" encoding="UTF-8" standalone="yes"?>
<Relationships xmlns="http://schemas.openxmlformats.org/package/2006/relationships"><Relationship Id="rId3" Type="http://schemas.microsoft.com/office/2011/relationships/chartStyle" Target="style7.xml"/><Relationship Id="rId2" Type="http://schemas.microsoft.com/office/2011/relationships/chartColorStyle" Target="colors7.xml"/><Relationship Id="rId1" Type="http://schemas.openxmlformats.org/officeDocument/2006/relationships/chartUserShapes" Target="../drawings/drawing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autoTitleDeleted val="1"/>
    <c:plotArea>
      <c:layout>
        <c:manualLayout>
          <c:layoutTarget val="inner"/>
          <c:xMode val="edge"/>
          <c:yMode val="edge"/>
          <c:x val="0.13833167912834424"/>
          <c:y val="0.27899814814814816"/>
          <c:w val="0.7984114933001798"/>
          <c:h val="0.54373487654320996"/>
        </c:manualLayout>
      </c:layout>
      <c:barChart>
        <c:barDir val="col"/>
        <c:grouping val="clustered"/>
        <c:ser>
          <c:idx val="0"/>
          <c:order val="0"/>
          <c:tx>
            <c:strRef>
              <c:f>'1 动态柱形图'!$B$13</c:f>
              <c:strCache>
                <c:ptCount val="1"/>
                <c:pt idx="0">
                  <c:v>5月</c:v>
                </c:pt>
              </c:strCache>
            </c:strRef>
          </c:tx>
          <c:spPr>
            <a:solidFill>
              <a:srgbClr val="0097E0"/>
            </a:solidFill>
            <a:ln>
              <a:noFill/>
            </a:ln>
            <a:effectLst/>
          </c:spPr>
          <c:dPt>
            <c:idx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8-2808-45AA-B762-DA558906602D}"/>
              </c:ext>
            </c:extLst>
          </c:dPt>
          <c:dPt>
            <c:idx val="1"/>
            <c:extLst xmlns:c16r2="http://schemas.microsoft.com/office/drawing/2015/06/chart">
              <c:ext xmlns:c16="http://schemas.microsoft.com/office/drawing/2014/chart" uri="{C3380CC4-5D6E-409C-BE32-E72D297353CC}">
                <c16:uniqueId val="{00000001-2808-45AA-B762-DA558906602D}"/>
              </c:ext>
            </c:extLst>
          </c:dPt>
          <c:dPt>
            <c:idx val="2"/>
            <c:extLst xmlns:c16r2="http://schemas.microsoft.com/office/drawing/2015/06/chart">
              <c:ext xmlns:c16="http://schemas.microsoft.com/office/drawing/2014/chart" uri="{C3380CC4-5D6E-409C-BE32-E72D297353CC}">
                <c16:uniqueId val="{00000002-2808-45AA-B762-DA558906602D}"/>
              </c:ext>
            </c:extLst>
          </c:dPt>
          <c:dPt>
            <c:idx val="3"/>
            <c:extLst xmlns:c16r2="http://schemas.microsoft.com/office/drawing/2015/06/chart">
              <c:ext xmlns:c16="http://schemas.microsoft.com/office/drawing/2014/chart" uri="{C3380CC4-5D6E-409C-BE32-E72D297353CC}">
                <c16:uniqueId val="{00000003-2808-45AA-B762-DA558906602D}"/>
              </c:ext>
            </c:extLst>
          </c:dPt>
          <c:dPt>
            <c:idx val="4"/>
            <c:extLst xmlns:c16r2="http://schemas.microsoft.com/office/drawing/2015/06/chart">
              <c:ext xmlns:c16="http://schemas.microsoft.com/office/drawing/2014/chart" uri="{C3380CC4-5D6E-409C-BE32-E72D297353CC}">
                <c16:uniqueId val="{00000004-2808-45AA-B762-DA558906602D}"/>
              </c:ext>
            </c:extLst>
          </c:dPt>
          <c:dPt>
            <c:idx val="5"/>
            <c:extLst xmlns:c16r2="http://schemas.microsoft.com/office/drawing/2015/06/chart">
              <c:ext xmlns:c16="http://schemas.microsoft.com/office/drawing/2014/chart" uri="{C3380CC4-5D6E-409C-BE32-E72D297353CC}">
                <c16:uniqueId val="{00000005-2808-45AA-B762-DA558906602D}"/>
              </c:ext>
            </c:extLst>
          </c:dPt>
          <c:cat>
            <c:strRef>
              <c:f>'1 动态柱形图'!$C$12:$H$12</c:f>
              <c:strCache>
                <c:ptCount val="6"/>
                <c:pt idx="0">
                  <c:v>华北</c:v>
                </c:pt>
                <c:pt idx="1">
                  <c:v>华南</c:v>
                </c:pt>
                <c:pt idx="2">
                  <c:v>东北</c:v>
                </c:pt>
                <c:pt idx="3">
                  <c:v>西北</c:v>
                </c:pt>
                <c:pt idx="4">
                  <c:v>西南</c:v>
                </c:pt>
                <c:pt idx="5">
                  <c:v>华东</c:v>
                </c:pt>
              </c:strCache>
            </c:strRef>
          </c:cat>
          <c:val>
            <c:numRef>
              <c:f>'1 动态柱形图'!$C$13:$H$13</c:f>
              <c:numCache>
                <c:formatCode>General</c:formatCode>
                <c:ptCount val="6"/>
                <c:pt idx="0">
                  <c:v>282</c:v>
                </c:pt>
                <c:pt idx="1">
                  <c:v>323</c:v>
                </c:pt>
                <c:pt idx="2">
                  <c:v>705</c:v>
                </c:pt>
                <c:pt idx="3">
                  <c:v>486</c:v>
                </c:pt>
                <c:pt idx="4">
                  <c:v>405</c:v>
                </c:pt>
                <c:pt idx="5">
                  <c:v>308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808-45AA-B762-DA558906602D}"/>
            </c:ext>
          </c:extLst>
        </c:ser>
        <c:dLbls/>
        <c:overlap val="-27"/>
        <c:axId val="73504640"/>
        <c:axId val="73506176"/>
      </c:barChart>
      <c:catAx>
        <c:axId val="73504640"/>
        <c:scaling>
          <c:orientation val="minMax"/>
        </c:scaling>
        <c:axPos val="b"/>
        <c:numFmt formatCode="General" sourceLinked="1"/>
        <c:maj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9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3506176"/>
        <c:crosses val="autoZero"/>
        <c:auto val="1"/>
        <c:lblAlgn val="ctr"/>
        <c:lblOffset val="100"/>
      </c:catAx>
      <c:valAx>
        <c:axId val="73506176"/>
        <c:scaling>
          <c:orientation val="minMax"/>
          <c:max val="800"/>
        </c:scaling>
        <c:axPos val="l"/>
        <c:majorGridlines>
          <c:spPr>
            <a:ln w="6350" cap="flat" cmpd="sng" algn="ctr">
              <a:solidFill>
                <a:schemeClr val="bg1">
                  <a:lumMod val="95000"/>
                  <a:alpha val="20000"/>
                </a:schemeClr>
              </a:solidFill>
              <a:prstDash val="lgDash"/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9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3504640"/>
        <c:crosses val="autoZero"/>
        <c:crossBetween val="between"/>
        <c:majorUnit val="200"/>
      </c:valAx>
      <c:spPr>
        <a:noFill/>
        <a:ln>
          <a:noFill/>
        </a:ln>
        <a:effectLst/>
      </c:spPr>
    </c:plotArea>
    <c:plotVisOnly val="1"/>
    <c:dispBlanksAs val="gap"/>
  </c:chart>
  <c:spPr>
    <a:solidFill>
      <a:srgbClr val="1A1E43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autoTitleDeleted val="1"/>
    <c:plotArea>
      <c:layout>
        <c:manualLayout>
          <c:layoutTarget val="inner"/>
          <c:xMode val="edge"/>
          <c:yMode val="edge"/>
          <c:x val="0.19594719777674849"/>
          <c:y val="3.5570682070287882E-3"/>
          <c:w val="0.5024782196343105"/>
          <c:h val="0.86190842270773027"/>
        </c:manualLayout>
      </c:layout>
      <c:doughnutChart>
        <c:varyColors val="1"/>
        <c:ser>
          <c:idx val="0"/>
          <c:order val="0"/>
          <c:tx>
            <c:strRef>
              <c:f>'2 动态跑道图'!$H$4</c:f>
              <c:strCache>
                <c:ptCount val="1"/>
                <c:pt idx="0">
                  <c:v>人力部</c:v>
                </c:pt>
              </c:strCache>
            </c:strRef>
          </c:tx>
          <c:spPr>
            <a:ln w="38100">
              <a:solidFill>
                <a:srgbClr val="1A1E43"/>
              </a:solidFill>
            </a:ln>
          </c:spPr>
          <c:dPt>
            <c:idx val="0"/>
            <c:spPr>
              <a:solidFill>
                <a:srgbClr val="7030A0"/>
              </a:solidFill>
              <a:ln w="38100">
                <a:solidFill>
                  <a:srgbClr val="1A1E43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D-F8A4-43B5-98D0-4C9E320711B9}"/>
              </c:ext>
            </c:extLst>
          </c:dPt>
          <c:dPt>
            <c:idx val="1"/>
            <c:spPr>
              <a:noFill/>
              <a:ln w="38100">
                <a:solidFill>
                  <a:srgbClr val="1A1E43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8-F8A4-43B5-98D0-4C9E320711B9}"/>
              </c:ext>
            </c:extLst>
          </c:dPt>
          <c:cat>
            <c:strRef>
              <c:f>'2 动态跑道图'!$I$3:$J$3</c:f>
              <c:strCache>
                <c:ptCount val="2"/>
                <c:pt idx="0">
                  <c:v>1月</c:v>
                </c:pt>
                <c:pt idx="1">
                  <c:v>占位</c:v>
                </c:pt>
              </c:strCache>
            </c:strRef>
          </c:cat>
          <c:val>
            <c:numRef>
              <c:f>'2 动态跑道图'!$I$4:$J$4</c:f>
              <c:numCache>
                <c:formatCode>General</c:formatCode>
                <c:ptCount val="2"/>
                <c:pt idx="0">
                  <c:v>129</c:v>
                </c:pt>
                <c:pt idx="1">
                  <c:v>689.5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8A4-43B5-98D0-4C9E320711B9}"/>
            </c:ext>
          </c:extLst>
        </c:ser>
        <c:ser>
          <c:idx val="1"/>
          <c:order val="1"/>
          <c:tx>
            <c:strRef>
              <c:f>'2 动态跑道图'!$H$5</c:f>
              <c:strCache>
                <c:ptCount val="1"/>
                <c:pt idx="0">
                  <c:v>行政部</c:v>
                </c:pt>
              </c:strCache>
            </c:strRef>
          </c:tx>
          <c:spPr>
            <a:ln w="38100">
              <a:solidFill>
                <a:srgbClr val="1A1E43"/>
              </a:solidFill>
            </a:ln>
          </c:spPr>
          <c:dPt>
            <c:idx val="0"/>
            <c:spPr>
              <a:solidFill>
                <a:srgbClr val="0070C0"/>
              </a:solidFill>
              <a:ln w="38100">
                <a:solidFill>
                  <a:srgbClr val="1A1E43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C-F8A4-43B5-98D0-4C9E320711B9}"/>
              </c:ext>
            </c:extLst>
          </c:dPt>
          <c:dPt>
            <c:idx val="1"/>
            <c:spPr>
              <a:noFill/>
              <a:ln w="38100">
                <a:solidFill>
                  <a:srgbClr val="1A1E43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7-F8A4-43B5-98D0-4C9E320711B9}"/>
              </c:ext>
            </c:extLst>
          </c:dPt>
          <c:cat>
            <c:strRef>
              <c:f>'2 动态跑道图'!$I$3:$J$3</c:f>
              <c:strCache>
                <c:ptCount val="2"/>
                <c:pt idx="0">
                  <c:v>1月</c:v>
                </c:pt>
                <c:pt idx="1">
                  <c:v>占位</c:v>
                </c:pt>
              </c:strCache>
            </c:strRef>
          </c:cat>
          <c:val>
            <c:numRef>
              <c:f>'2 动态跑道图'!$I$5:$J$5</c:f>
              <c:numCache>
                <c:formatCode>General</c:formatCode>
                <c:ptCount val="2"/>
                <c:pt idx="0">
                  <c:v>226</c:v>
                </c:pt>
                <c:pt idx="1">
                  <c:v>592.5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8A4-43B5-98D0-4C9E320711B9}"/>
            </c:ext>
          </c:extLst>
        </c:ser>
        <c:ser>
          <c:idx val="2"/>
          <c:order val="2"/>
          <c:tx>
            <c:strRef>
              <c:f>'2 动态跑道图'!$H$6</c:f>
              <c:strCache>
                <c:ptCount val="1"/>
                <c:pt idx="0">
                  <c:v>财务部</c:v>
                </c:pt>
              </c:strCache>
            </c:strRef>
          </c:tx>
          <c:spPr>
            <a:ln w="38100">
              <a:solidFill>
                <a:srgbClr val="1A1E43"/>
              </a:solidFill>
            </a:ln>
          </c:spPr>
          <c:dPt>
            <c:idx val="0"/>
            <c:spPr>
              <a:solidFill>
                <a:srgbClr val="37A2DA"/>
              </a:solidFill>
              <a:ln w="38100">
                <a:solidFill>
                  <a:srgbClr val="1A1E43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B-F8A4-43B5-98D0-4C9E320711B9}"/>
              </c:ext>
            </c:extLst>
          </c:dPt>
          <c:dPt>
            <c:idx val="1"/>
            <c:spPr>
              <a:noFill/>
              <a:ln w="38100">
                <a:solidFill>
                  <a:srgbClr val="1A1E43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6-F8A4-43B5-98D0-4C9E320711B9}"/>
              </c:ext>
            </c:extLst>
          </c:dPt>
          <c:cat>
            <c:strRef>
              <c:f>'2 动态跑道图'!$I$3:$J$3</c:f>
              <c:strCache>
                <c:ptCount val="2"/>
                <c:pt idx="0">
                  <c:v>1月</c:v>
                </c:pt>
                <c:pt idx="1">
                  <c:v>占位</c:v>
                </c:pt>
              </c:strCache>
            </c:strRef>
          </c:cat>
          <c:val>
            <c:numRef>
              <c:f>'2 动态跑道图'!$I$6:$J$6</c:f>
              <c:numCache>
                <c:formatCode>General</c:formatCode>
                <c:ptCount val="2"/>
                <c:pt idx="0">
                  <c:v>226</c:v>
                </c:pt>
                <c:pt idx="1">
                  <c:v>592.5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8A4-43B5-98D0-4C9E320711B9}"/>
            </c:ext>
          </c:extLst>
        </c:ser>
        <c:ser>
          <c:idx val="3"/>
          <c:order val="3"/>
          <c:tx>
            <c:strRef>
              <c:f>'2 动态跑道图'!$H$7</c:f>
              <c:strCache>
                <c:ptCount val="1"/>
                <c:pt idx="0">
                  <c:v>工程部</c:v>
                </c:pt>
              </c:strCache>
            </c:strRef>
          </c:tx>
          <c:spPr>
            <a:ln w="38100">
              <a:solidFill>
                <a:srgbClr val="1A1E43"/>
              </a:solidFill>
            </a:ln>
          </c:spPr>
          <c:dPt>
            <c:idx val="0"/>
            <c:spPr>
              <a:solidFill>
                <a:srgbClr val="11A7AD"/>
              </a:solidFill>
              <a:ln w="38100">
                <a:solidFill>
                  <a:srgbClr val="1A1E43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A-F8A4-43B5-98D0-4C9E320711B9}"/>
              </c:ext>
            </c:extLst>
          </c:dPt>
          <c:dPt>
            <c:idx val="1"/>
            <c:spPr>
              <a:noFill/>
              <a:ln w="38100">
                <a:solidFill>
                  <a:srgbClr val="1A1E43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5-F8A4-43B5-98D0-4C9E320711B9}"/>
              </c:ext>
            </c:extLst>
          </c:dPt>
          <c:cat>
            <c:strRef>
              <c:f>'2 动态跑道图'!$I$3:$J$3</c:f>
              <c:strCache>
                <c:ptCount val="2"/>
                <c:pt idx="0">
                  <c:v>1月</c:v>
                </c:pt>
                <c:pt idx="1">
                  <c:v>占位</c:v>
                </c:pt>
              </c:strCache>
            </c:strRef>
          </c:cat>
          <c:val>
            <c:numRef>
              <c:f>'2 动态跑道图'!$I$7:$J$7</c:f>
              <c:numCache>
                <c:formatCode>General</c:formatCode>
                <c:ptCount val="2"/>
                <c:pt idx="0">
                  <c:v>264</c:v>
                </c:pt>
                <c:pt idx="1">
                  <c:v>554.5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8A4-43B5-98D0-4C9E320711B9}"/>
            </c:ext>
          </c:extLst>
        </c:ser>
        <c:ser>
          <c:idx val="4"/>
          <c:order val="4"/>
          <c:tx>
            <c:strRef>
              <c:f>'2 动态跑道图'!$H$8</c:f>
              <c:strCache>
                <c:ptCount val="1"/>
                <c:pt idx="0">
                  <c:v>采购部</c:v>
                </c:pt>
              </c:strCache>
            </c:strRef>
          </c:tx>
          <c:spPr>
            <a:ln w="38100">
              <a:solidFill>
                <a:srgbClr val="1A1E43"/>
              </a:solidFill>
            </a:ln>
          </c:spPr>
          <c:dPt>
            <c:idx val="0"/>
            <c:spPr>
              <a:solidFill>
                <a:srgbClr val="F5C353"/>
              </a:solidFill>
              <a:ln w="38100">
                <a:solidFill>
                  <a:srgbClr val="1A1E43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9-F8A4-43B5-98D0-4C9E320711B9}"/>
              </c:ext>
            </c:extLst>
          </c:dPt>
          <c:dPt>
            <c:idx val="1"/>
            <c:spPr>
              <a:noFill/>
              <a:ln w="38100">
                <a:solidFill>
                  <a:srgbClr val="1A1E43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4-F8A4-43B5-98D0-4C9E320711B9}"/>
              </c:ext>
            </c:extLst>
          </c:dPt>
          <c:cat>
            <c:strRef>
              <c:f>'2 动态跑道图'!$I$3:$J$3</c:f>
              <c:strCache>
                <c:ptCount val="2"/>
                <c:pt idx="0">
                  <c:v>1月</c:v>
                </c:pt>
                <c:pt idx="1">
                  <c:v>占位</c:v>
                </c:pt>
              </c:strCache>
            </c:strRef>
          </c:cat>
          <c:val>
            <c:numRef>
              <c:f>'2 动态跑道图'!$I$8:$J$8</c:f>
              <c:numCache>
                <c:formatCode>General</c:formatCode>
                <c:ptCount val="2"/>
                <c:pt idx="0">
                  <c:v>359</c:v>
                </c:pt>
                <c:pt idx="1">
                  <c:v>459.5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8A4-43B5-98D0-4C9E320711B9}"/>
            </c:ext>
          </c:extLst>
        </c:ser>
        <c:ser>
          <c:idx val="5"/>
          <c:order val="5"/>
          <c:tx>
            <c:strRef>
              <c:f>'2 动态跑道图'!$H$9</c:f>
              <c:strCache>
                <c:ptCount val="1"/>
                <c:pt idx="0">
                  <c:v>销售部</c:v>
                </c:pt>
              </c:strCache>
            </c:strRef>
          </c:tx>
          <c:spPr>
            <a:ln w="38100">
              <a:solidFill>
                <a:srgbClr val="1A1E43"/>
              </a:solidFill>
            </a:ln>
          </c:spPr>
          <c:dPt>
            <c:idx val="0"/>
            <c:spPr>
              <a:solidFill>
                <a:srgbClr val="E74E69"/>
              </a:solidFill>
              <a:ln w="38100">
                <a:solidFill>
                  <a:srgbClr val="1A1E43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2-F8A4-43B5-98D0-4C9E320711B9}"/>
              </c:ext>
            </c:extLst>
          </c:dPt>
          <c:dPt>
            <c:idx val="1"/>
            <c:spPr>
              <a:noFill/>
              <a:ln w="38100">
                <a:solidFill>
                  <a:srgbClr val="1A1E43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3-F8A4-43B5-98D0-4C9E320711B9}"/>
              </c:ext>
            </c:extLst>
          </c:dPt>
          <c:cat>
            <c:strRef>
              <c:f>'2 动态跑道图'!$I$3:$J$3</c:f>
              <c:strCache>
                <c:ptCount val="2"/>
                <c:pt idx="0">
                  <c:v>1月</c:v>
                </c:pt>
                <c:pt idx="1">
                  <c:v>占位</c:v>
                </c:pt>
              </c:strCache>
            </c:strRef>
          </c:cat>
          <c:val>
            <c:numRef>
              <c:f>'2 动态跑道图'!$I$9:$J$9</c:f>
              <c:numCache>
                <c:formatCode>General</c:formatCode>
                <c:ptCount val="2"/>
                <c:pt idx="0">
                  <c:v>433</c:v>
                </c:pt>
                <c:pt idx="1">
                  <c:v>385.5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F8A4-43B5-98D0-4C9E320711B9}"/>
            </c:ext>
          </c:extLst>
        </c:ser>
        <c:dLbls/>
        <c:firstSliceAng val="0"/>
        <c:holeSize val="45"/>
      </c:doughnutChart>
      <c:spPr>
        <a:noFill/>
        <a:ln>
          <a:noFill/>
        </a:ln>
        <a:effectLst/>
      </c:spPr>
    </c:plotArea>
    <c:plotVisOnly val="1"/>
    <c:dispBlanksAs val="zero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1A1E43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>
        <c:manualLayout>
          <c:layoutTarget val="inner"/>
          <c:xMode val="edge"/>
          <c:yMode val="edge"/>
          <c:x val="0.28561564840891235"/>
          <c:y val="0.23648267043542634"/>
          <c:w val="0.44087323026227565"/>
          <c:h val="0.61948341072750523"/>
        </c:manualLayout>
      </c:layout>
      <c:doughnutChart>
        <c:varyColors val="1"/>
        <c:ser>
          <c:idx val="0"/>
          <c:order val="0"/>
          <c:tx>
            <c:strRef>
              <c:f>'3 动态南丁格尔圆环图'!$B$13</c:f>
              <c:strCache>
                <c:ptCount val="1"/>
                <c:pt idx="0">
                  <c:v>近7天</c:v>
                </c:pt>
              </c:strCache>
            </c:strRef>
          </c:tx>
          <c:spPr>
            <a:solidFill>
              <a:srgbClr val="11A7AD"/>
            </a:solidFill>
            <a:ln>
              <a:noFill/>
            </a:ln>
          </c:spPr>
          <c:dPt>
            <c:idx val="0"/>
            <c:spPr>
              <a:solidFill>
                <a:srgbClr val="4A5BD1"/>
              </a:soli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F-68B1-43F6-A27A-C442BB1E960B}"/>
              </c:ext>
            </c:extLst>
          </c:dPt>
          <c:dPt>
            <c:idx val="1"/>
            <c:spPr>
              <a:solidFill>
                <a:srgbClr val="6073F3"/>
              </a:soli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B-68B1-43F6-A27A-C442BB1E960B}"/>
              </c:ext>
            </c:extLst>
          </c:dPt>
          <c:dPt>
            <c:idx val="2"/>
            <c:spPr>
              <a:solidFill>
                <a:srgbClr val="11A7AD"/>
              </a:soli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AA9B-4BBF-BEF4-E96E386E9C6B}"/>
              </c:ext>
            </c:extLst>
          </c:dPt>
          <c:dPt>
            <c:idx val="3"/>
            <c:spPr>
              <a:solidFill>
                <a:srgbClr val="FFC000"/>
              </a:soli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0-68B1-43F6-A27A-C442BB1E960B}"/>
              </c:ext>
            </c:extLst>
          </c:dPt>
          <c:dPt>
            <c:idx val="4"/>
            <c:spPr>
              <a:solidFill>
                <a:srgbClr val="E66B4C"/>
              </a:soli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6-68B1-43F6-A27A-C442BB1E960B}"/>
              </c:ext>
            </c:extLst>
          </c:dPt>
          <c:cat>
            <c:strRef>
              <c:f>'3 动态南丁格尔圆环图'!$C$12:$G$12</c:f>
              <c:strCache>
                <c:ptCount val="5"/>
                <c:pt idx="0">
                  <c:v>首页推荐</c:v>
                </c:pt>
                <c:pt idx="1">
                  <c:v>关注页面</c:v>
                </c:pt>
                <c:pt idx="2">
                  <c:v>搜索</c:v>
                </c:pt>
                <c:pt idx="3">
                  <c:v>个人主页</c:v>
                </c:pt>
                <c:pt idx="4">
                  <c:v>其他来源</c:v>
                </c:pt>
              </c:strCache>
            </c:strRef>
          </c:cat>
          <c:val>
            <c:numRef>
              <c:f>'3 动态南丁格尔圆环图'!$C$13:$G$13</c:f>
              <c:numCache>
                <c:formatCode>0%</c:formatCode>
                <c:ptCount val="5"/>
                <c:pt idx="0">
                  <c:v>0.44</c:v>
                </c:pt>
                <c:pt idx="1">
                  <c:v>0.17</c:v>
                </c:pt>
                <c:pt idx="2">
                  <c:v>0.15</c:v>
                </c:pt>
                <c:pt idx="3">
                  <c:v>0.08</c:v>
                </c:pt>
                <c:pt idx="4">
                  <c:v>0.16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8B1-43F6-A27A-C442BB1E960B}"/>
            </c:ext>
          </c:extLst>
        </c:ser>
        <c:ser>
          <c:idx val="1"/>
          <c:order val="1"/>
          <c:tx>
            <c:strRef>
              <c:f>'3 动态南丁格尔圆环图'!$B$13</c:f>
              <c:strCache>
                <c:ptCount val="1"/>
                <c:pt idx="0">
                  <c:v>近7天</c:v>
                </c:pt>
              </c:strCache>
            </c:strRef>
          </c:tx>
          <c:spPr>
            <a:ln>
              <a:noFill/>
            </a:ln>
          </c:spPr>
          <c:dPt>
            <c:idx val="0"/>
            <c:spPr>
              <a:solidFill>
                <a:srgbClr val="4A5BD1"/>
              </a:soli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E-68B1-43F6-A27A-C442BB1E960B}"/>
              </c:ext>
            </c:extLst>
          </c:dPt>
          <c:dPt>
            <c:idx val="1"/>
            <c:spPr>
              <a:solidFill>
                <a:srgbClr val="6073F3"/>
              </a:soli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A-68B1-43F6-A27A-C442BB1E960B}"/>
              </c:ext>
            </c:extLst>
          </c:dPt>
          <c:dPt>
            <c:idx val="2"/>
            <c:spPr>
              <a:solidFill>
                <a:srgbClr val="11A7AD"/>
              </a:soli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5-68B1-43F6-A27A-C442BB1E960B}"/>
              </c:ext>
            </c:extLst>
          </c:dPt>
          <c:dPt>
            <c:idx val="3"/>
            <c:spPr>
              <a:solidFill>
                <a:schemeClr val="accent4"/>
              </a:soli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1-AA9B-4BBF-BEF4-E96E386E9C6B}"/>
              </c:ext>
            </c:extLst>
          </c:dPt>
          <c:dPt>
            <c:idx val="4"/>
            <c:spPr>
              <a:solidFill>
                <a:srgbClr val="E66B4C"/>
              </a:soli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7-68B1-43F6-A27A-C442BB1E960B}"/>
              </c:ext>
            </c:extLst>
          </c:dPt>
          <c:cat>
            <c:strRef>
              <c:f>'3 动态南丁格尔圆环图'!$C$12:$G$12</c:f>
              <c:strCache>
                <c:ptCount val="5"/>
                <c:pt idx="0">
                  <c:v>首页推荐</c:v>
                </c:pt>
                <c:pt idx="1">
                  <c:v>关注页面</c:v>
                </c:pt>
                <c:pt idx="2">
                  <c:v>搜索</c:v>
                </c:pt>
                <c:pt idx="3">
                  <c:v>个人主页</c:v>
                </c:pt>
                <c:pt idx="4">
                  <c:v>其他来源</c:v>
                </c:pt>
              </c:strCache>
            </c:strRef>
          </c:cat>
          <c:val>
            <c:numRef>
              <c:f>'3 动态南丁格尔圆环图'!$C$13:$G$13</c:f>
              <c:numCache>
                <c:formatCode>0%</c:formatCode>
                <c:ptCount val="5"/>
                <c:pt idx="0">
                  <c:v>0.44</c:v>
                </c:pt>
                <c:pt idx="1">
                  <c:v>0.17</c:v>
                </c:pt>
                <c:pt idx="2">
                  <c:v>0.15</c:v>
                </c:pt>
                <c:pt idx="3">
                  <c:v>0.08</c:v>
                </c:pt>
                <c:pt idx="4">
                  <c:v>0.16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8B1-43F6-A27A-C442BB1E960B}"/>
            </c:ext>
          </c:extLst>
        </c:ser>
        <c:ser>
          <c:idx val="2"/>
          <c:order val="2"/>
          <c:tx>
            <c:strRef>
              <c:f>'3 动态南丁格尔圆环图'!$B$13</c:f>
              <c:strCache>
                <c:ptCount val="1"/>
                <c:pt idx="0">
                  <c:v>近7天</c:v>
                </c:pt>
              </c:strCache>
            </c:strRef>
          </c:tx>
          <c:spPr>
            <a:ln>
              <a:noFill/>
            </a:ln>
          </c:spPr>
          <c:dPt>
            <c:idx val="0"/>
            <c:spPr>
              <a:solidFill>
                <a:srgbClr val="4A5BD1"/>
              </a:soli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D-68B1-43F6-A27A-C442BB1E960B}"/>
              </c:ext>
            </c:extLst>
          </c:dPt>
          <c:dPt>
            <c:idx val="1"/>
            <c:spPr>
              <a:solidFill>
                <a:srgbClr val="6073F3"/>
              </a:soli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9-68B1-43F6-A27A-C442BB1E960B}"/>
              </c:ext>
            </c:extLst>
          </c:dPt>
          <c:dPt>
            <c:idx val="2"/>
            <c:spPr>
              <a:solidFill>
                <a:srgbClr val="11A7AD"/>
              </a:soli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4-68B1-43F6-A27A-C442BB1E960B}"/>
              </c:ext>
            </c:extLst>
          </c:dPt>
          <c:dPt>
            <c:idx val="3"/>
            <c:spPr>
              <a:solidFill>
                <a:schemeClr val="accent4"/>
              </a:soli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B-AA9B-4BBF-BEF4-E96E386E9C6B}"/>
              </c:ext>
            </c:extLst>
          </c:dPt>
          <c:dPt>
            <c:idx val="4"/>
            <c:spPr>
              <a:noFill/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68B1-43F6-A27A-C442BB1E960B}"/>
              </c:ext>
            </c:extLst>
          </c:dPt>
          <c:cat>
            <c:strRef>
              <c:f>'3 动态南丁格尔圆环图'!$C$12:$G$12</c:f>
              <c:strCache>
                <c:ptCount val="5"/>
                <c:pt idx="0">
                  <c:v>首页推荐</c:v>
                </c:pt>
                <c:pt idx="1">
                  <c:v>关注页面</c:v>
                </c:pt>
                <c:pt idx="2">
                  <c:v>搜索</c:v>
                </c:pt>
                <c:pt idx="3">
                  <c:v>个人主页</c:v>
                </c:pt>
                <c:pt idx="4">
                  <c:v>其他来源</c:v>
                </c:pt>
              </c:strCache>
            </c:strRef>
          </c:cat>
          <c:val>
            <c:numRef>
              <c:f>'3 动态南丁格尔圆环图'!$C$13:$G$13</c:f>
              <c:numCache>
                <c:formatCode>0%</c:formatCode>
                <c:ptCount val="5"/>
                <c:pt idx="0">
                  <c:v>0.44</c:v>
                </c:pt>
                <c:pt idx="1">
                  <c:v>0.17</c:v>
                </c:pt>
                <c:pt idx="2">
                  <c:v>0.15</c:v>
                </c:pt>
                <c:pt idx="3">
                  <c:v>0.08</c:v>
                </c:pt>
                <c:pt idx="4">
                  <c:v>0.16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68B1-43F6-A27A-C442BB1E960B}"/>
            </c:ext>
          </c:extLst>
        </c:ser>
        <c:ser>
          <c:idx val="3"/>
          <c:order val="3"/>
          <c:tx>
            <c:strRef>
              <c:f>'3 动态南丁格尔圆环图'!$B$13</c:f>
              <c:strCache>
                <c:ptCount val="1"/>
                <c:pt idx="0">
                  <c:v>近7天</c:v>
                </c:pt>
              </c:strCache>
            </c:strRef>
          </c:tx>
          <c:spPr>
            <a:ln>
              <a:noFill/>
            </a:ln>
          </c:spPr>
          <c:dPt>
            <c:idx val="0"/>
            <c:spPr>
              <a:solidFill>
                <a:srgbClr val="4A5BD1"/>
              </a:soli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6-68B1-43F6-A27A-C442BB1E960B}"/>
              </c:ext>
            </c:extLst>
          </c:dPt>
          <c:dPt>
            <c:idx val="1"/>
            <c:spPr>
              <a:solidFill>
                <a:srgbClr val="6073F3"/>
              </a:soli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8-68B1-43F6-A27A-C442BB1E960B}"/>
              </c:ext>
            </c:extLst>
          </c:dPt>
          <c:dPt>
            <c:idx val="2"/>
            <c:spPr>
              <a:solidFill>
                <a:srgbClr val="11A7AD"/>
              </a:soli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E-68B1-43F6-A27A-C442BB1E960B}"/>
              </c:ext>
            </c:extLst>
          </c:dPt>
          <c:dPt>
            <c:idx val="3"/>
            <c:spPr>
              <a:noFill/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68B1-43F6-A27A-C442BB1E960B}"/>
              </c:ext>
            </c:extLst>
          </c:dPt>
          <c:dPt>
            <c:idx val="4"/>
            <c:spPr>
              <a:noFill/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A-68B1-43F6-A27A-C442BB1E960B}"/>
              </c:ext>
            </c:extLst>
          </c:dPt>
          <c:cat>
            <c:strRef>
              <c:f>'3 动态南丁格尔圆环图'!$C$12:$G$12</c:f>
              <c:strCache>
                <c:ptCount val="5"/>
                <c:pt idx="0">
                  <c:v>首页推荐</c:v>
                </c:pt>
                <c:pt idx="1">
                  <c:v>关注页面</c:v>
                </c:pt>
                <c:pt idx="2">
                  <c:v>搜索</c:v>
                </c:pt>
                <c:pt idx="3">
                  <c:v>个人主页</c:v>
                </c:pt>
                <c:pt idx="4">
                  <c:v>其他来源</c:v>
                </c:pt>
              </c:strCache>
            </c:strRef>
          </c:cat>
          <c:val>
            <c:numRef>
              <c:f>'3 动态南丁格尔圆环图'!$C$13:$G$13</c:f>
              <c:numCache>
                <c:formatCode>0%</c:formatCode>
                <c:ptCount val="5"/>
                <c:pt idx="0">
                  <c:v>0.44</c:v>
                </c:pt>
                <c:pt idx="1">
                  <c:v>0.17</c:v>
                </c:pt>
                <c:pt idx="2">
                  <c:v>0.15</c:v>
                </c:pt>
                <c:pt idx="3">
                  <c:v>0.08</c:v>
                </c:pt>
                <c:pt idx="4">
                  <c:v>0.16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68B1-43F6-A27A-C442BB1E960B}"/>
            </c:ext>
          </c:extLst>
        </c:ser>
        <c:ser>
          <c:idx val="4"/>
          <c:order val="4"/>
          <c:tx>
            <c:strRef>
              <c:f>'3 动态南丁格尔圆环图'!$B$13</c:f>
              <c:strCache>
                <c:ptCount val="1"/>
                <c:pt idx="0">
                  <c:v>近7天</c:v>
                </c:pt>
              </c:strCache>
            </c:strRef>
          </c:tx>
          <c:spPr>
            <a:ln>
              <a:noFill/>
            </a:ln>
          </c:spPr>
          <c:dPt>
            <c:idx val="0"/>
            <c:spPr>
              <a:solidFill>
                <a:srgbClr val="4A5BD1"/>
              </a:soli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68B1-43F6-A27A-C442BB1E960B}"/>
              </c:ext>
            </c:extLst>
          </c:dPt>
          <c:dPt>
            <c:idx val="1"/>
            <c:spPr>
              <a:solidFill>
                <a:srgbClr val="6073F3"/>
              </a:soli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68B1-43F6-A27A-C442BB1E960B}"/>
              </c:ext>
            </c:extLst>
          </c:dPt>
          <c:dPt>
            <c:idx val="2"/>
            <c:spPr>
              <a:noFill/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8-68B1-43F6-A27A-C442BB1E960B}"/>
              </c:ext>
            </c:extLst>
          </c:dPt>
          <c:dPt>
            <c:idx val="3"/>
            <c:spPr>
              <a:noFill/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68B1-43F6-A27A-C442BB1E960B}"/>
              </c:ext>
            </c:extLst>
          </c:dPt>
          <c:dPt>
            <c:idx val="4"/>
            <c:spPr>
              <a:noFill/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C-68B1-43F6-A27A-C442BB1E960B}"/>
              </c:ext>
            </c:extLst>
          </c:dPt>
          <c:cat>
            <c:strRef>
              <c:f>'3 动态南丁格尔圆环图'!$C$12:$G$12</c:f>
              <c:strCache>
                <c:ptCount val="5"/>
                <c:pt idx="0">
                  <c:v>首页推荐</c:v>
                </c:pt>
                <c:pt idx="1">
                  <c:v>关注页面</c:v>
                </c:pt>
                <c:pt idx="2">
                  <c:v>搜索</c:v>
                </c:pt>
                <c:pt idx="3">
                  <c:v>个人主页</c:v>
                </c:pt>
                <c:pt idx="4">
                  <c:v>其他来源</c:v>
                </c:pt>
              </c:strCache>
            </c:strRef>
          </c:cat>
          <c:val>
            <c:numRef>
              <c:f>'3 动态南丁格尔圆环图'!$C$13:$G$13</c:f>
              <c:numCache>
                <c:formatCode>0%</c:formatCode>
                <c:ptCount val="5"/>
                <c:pt idx="0">
                  <c:v>0.44</c:v>
                </c:pt>
                <c:pt idx="1">
                  <c:v>0.17</c:v>
                </c:pt>
                <c:pt idx="2">
                  <c:v>0.15</c:v>
                </c:pt>
                <c:pt idx="3">
                  <c:v>0.08</c:v>
                </c:pt>
                <c:pt idx="4">
                  <c:v>0.16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68B1-43F6-A27A-C442BB1E960B}"/>
            </c:ext>
          </c:extLst>
        </c:ser>
        <c:ser>
          <c:idx val="5"/>
          <c:order val="5"/>
          <c:tx>
            <c:strRef>
              <c:f>'3 动态南丁格尔圆环图'!$B$13</c:f>
              <c:strCache>
                <c:ptCount val="1"/>
                <c:pt idx="0">
                  <c:v>近7天</c:v>
                </c:pt>
              </c:strCache>
            </c:strRef>
          </c:tx>
          <c:spPr>
            <a:ln>
              <a:noFill/>
            </a:ln>
          </c:spPr>
          <c:dPt>
            <c:idx val="0"/>
            <c:spPr>
              <a:solidFill>
                <a:srgbClr val="4A5BD1"/>
              </a:soli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C-68B1-43F6-A27A-C442BB1E960B}"/>
              </c:ext>
            </c:extLst>
          </c:dPt>
          <c:dPt>
            <c:idx val="1"/>
            <c:spPr>
              <a:noFill/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3-68B1-43F6-A27A-C442BB1E960B}"/>
              </c:ext>
            </c:extLst>
          </c:dPt>
          <c:dPt>
            <c:idx val="2"/>
            <c:spPr>
              <a:noFill/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2-68B1-43F6-A27A-C442BB1E960B}"/>
              </c:ext>
            </c:extLst>
          </c:dPt>
          <c:dPt>
            <c:idx val="3"/>
            <c:spPr>
              <a:noFill/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1-68B1-43F6-A27A-C442BB1E960B}"/>
              </c:ext>
            </c:extLst>
          </c:dPt>
          <c:dPt>
            <c:idx val="4"/>
            <c:spPr>
              <a:noFill/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0-68B1-43F6-A27A-C442BB1E960B}"/>
              </c:ext>
            </c:extLst>
          </c:dPt>
          <c:dLbls>
            <c:dLbl>
              <c:idx val="0"/>
              <c:layout>
                <c:manualLayout>
                  <c:x val="0.13588499966915887"/>
                  <c:y val="-0.14802501185358927"/>
                </c:manualLayout>
              </c:layout>
              <c:showVal val="1"/>
              <c:showCatNam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68B1-43F6-A27A-C442BB1E960B}"/>
                </c:ext>
              </c:extLst>
            </c:dLbl>
            <c:dLbl>
              <c:idx val="1"/>
              <c:layout>
                <c:manualLayout>
                  <c:x val="0.16058394160583939"/>
                  <c:y val="4.4444444444444328E-2"/>
                </c:manualLayout>
              </c:layout>
              <c:showVal val="1"/>
              <c:showCatNam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68B1-43F6-A27A-C442BB1E960B}"/>
                </c:ext>
              </c:extLst>
            </c:dLbl>
            <c:dLbl>
              <c:idx val="2"/>
              <c:layout>
                <c:manualLayout>
                  <c:x val="-7.785888077858881E-2"/>
                  <c:y val="5.8119658119658114E-2"/>
                </c:manualLayout>
              </c:layout>
              <c:showVal val="1"/>
              <c:showCatNam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8B1-43F6-A27A-C442BB1E960B}"/>
                </c:ext>
              </c:extLst>
            </c:dLbl>
            <c:dLbl>
              <c:idx val="3"/>
              <c:layout>
                <c:manualLayout>
                  <c:x val="-6.5693430656934337E-2"/>
                  <c:y val="-5.8119658119658114E-2"/>
                </c:manualLayout>
              </c:layout>
              <c:showVal val="1"/>
              <c:showCatNam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68B1-43F6-A27A-C442BB1E960B}"/>
                </c:ext>
              </c:extLst>
            </c:dLbl>
            <c:dLbl>
              <c:idx val="4"/>
              <c:layout>
                <c:manualLayout>
                  <c:x val="-0.10218978102189782"/>
                  <c:y val="-2.0512820512820516E-2"/>
                </c:manualLayout>
              </c:layout>
              <c:showVal val="1"/>
              <c:showCatNam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8B1-43F6-A27A-C442BB1E960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>
                        <a:lumMod val="9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Val val="1"/>
            <c:showCatName val="1"/>
            <c:showLeaderLines val="1"/>
            <c:leaderLines>
              <c:spPr>
                <a:ln w="9525" cap="flat" cmpd="sng" algn="ctr">
                  <a:noFill/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'3 动态南丁格尔圆环图'!$C$12:$G$12</c:f>
              <c:strCache>
                <c:ptCount val="5"/>
                <c:pt idx="0">
                  <c:v>首页推荐</c:v>
                </c:pt>
                <c:pt idx="1">
                  <c:v>关注页面</c:v>
                </c:pt>
                <c:pt idx="2">
                  <c:v>搜索</c:v>
                </c:pt>
                <c:pt idx="3">
                  <c:v>个人主页</c:v>
                </c:pt>
                <c:pt idx="4">
                  <c:v>其他来源</c:v>
                </c:pt>
              </c:strCache>
            </c:strRef>
          </c:cat>
          <c:val>
            <c:numRef>
              <c:f>'3 动态南丁格尔圆环图'!$C$13:$G$13</c:f>
              <c:numCache>
                <c:formatCode>0%</c:formatCode>
                <c:ptCount val="5"/>
                <c:pt idx="0">
                  <c:v>0.44</c:v>
                </c:pt>
                <c:pt idx="1">
                  <c:v>0.17</c:v>
                </c:pt>
                <c:pt idx="2">
                  <c:v>0.15</c:v>
                </c:pt>
                <c:pt idx="3">
                  <c:v>0.08</c:v>
                </c:pt>
                <c:pt idx="4">
                  <c:v>0.16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F-68B1-43F6-A27A-C442BB1E960B}"/>
            </c:ext>
          </c:extLst>
        </c:ser>
        <c:dLbls/>
        <c:firstSliceAng val="0"/>
        <c:holeSize val="52"/>
      </c:doughnutChart>
      <c:spPr>
        <a:noFill/>
        <a:ln>
          <a:noFill/>
        </a:ln>
        <a:effectLst/>
      </c:spPr>
    </c:plotArea>
    <c:plotVisOnly val="1"/>
    <c:dispBlanksAs val="zero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1A1E4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2000" b="1">
                <a:solidFill>
                  <a:schemeClr val="bg1"/>
                </a:solidFill>
                <a:latin typeface="+mn-ea"/>
                <a:ea typeface="+mn-ea"/>
              </a:rPr>
              <a:t>2022</a:t>
            </a:r>
            <a:r>
              <a:rPr lang="zh-CN" altLang="en-US" sz="2000" b="1">
                <a:solidFill>
                  <a:schemeClr val="bg1"/>
                </a:solidFill>
                <a:latin typeface="+mn-ea"/>
                <a:ea typeface="+mn-ea"/>
              </a:rPr>
              <a:t>年化妆品销售情况</a:t>
            </a:r>
          </a:p>
        </c:rich>
      </c:tx>
      <c:layout>
        <c:manualLayout>
          <c:xMode val="edge"/>
          <c:yMode val="edge"/>
          <c:x val="7.5211211806071418E-2"/>
          <c:y val="5.2058979780143198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4.294542226339354E-2"/>
          <c:y val="0.24927302291268319"/>
          <c:w val="0.90737783696155638"/>
          <c:h val="0.57845464673860458"/>
        </c:manualLayout>
      </c:layout>
      <c:barChart>
        <c:barDir val="col"/>
        <c:grouping val="clustered"/>
        <c:ser>
          <c:idx val="0"/>
          <c:order val="0"/>
          <c:tx>
            <c:strRef>
              <c:f>'4 动态组合图'!$B$18</c:f>
              <c:strCache>
                <c:ptCount val="1"/>
                <c:pt idx="0">
                  <c:v>销售额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>
                        <a:lumMod val="9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End"/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'4 动态组合图'!$C$17:$F$17</c:f>
              <c:strCache>
                <c:ptCount val="4"/>
                <c:pt idx="0">
                  <c:v>口红</c:v>
                </c:pt>
                <c:pt idx="1">
                  <c:v>面膜</c:v>
                </c:pt>
                <c:pt idx="2">
                  <c:v>隔离</c:v>
                </c:pt>
                <c:pt idx="3">
                  <c:v>粉底液</c:v>
                </c:pt>
              </c:strCache>
            </c:strRef>
          </c:cat>
          <c:val>
            <c:numRef>
              <c:f>'4 动态组合图'!$C$18:$F$18</c:f>
              <c:numCache>
                <c:formatCode>General</c:formatCode>
                <c:ptCount val="4"/>
                <c:pt idx="0">
                  <c:v>2800</c:v>
                </c:pt>
                <c:pt idx="1">
                  <c:v>2564</c:v>
                </c:pt>
                <c:pt idx="2">
                  <c:v>2282</c:v>
                </c:pt>
                <c:pt idx="3">
                  <c:v>2353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6BF-4EF9-B31E-05D2B17E8267}"/>
            </c:ext>
          </c:extLst>
        </c:ser>
        <c:ser>
          <c:idx val="1"/>
          <c:order val="1"/>
          <c:tx>
            <c:strRef>
              <c:f>'4 动态组合图'!$B$19</c:f>
              <c:strCache>
                <c:ptCount val="1"/>
                <c:pt idx="0">
                  <c:v>利润</c:v>
                </c:pt>
              </c:strCache>
            </c:strRef>
          </c:tx>
          <c:spPr>
            <a:solidFill>
              <a:srgbClr val="E74E69"/>
            </a:solidFill>
            <a:ln>
              <a:noFill/>
            </a:ln>
            <a:effectLst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>
                        <a:lumMod val="9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End"/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'4 动态组合图'!$C$17:$F$17</c:f>
              <c:strCache>
                <c:ptCount val="4"/>
                <c:pt idx="0">
                  <c:v>口红</c:v>
                </c:pt>
                <c:pt idx="1">
                  <c:v>面膜</c:v>
                </c:pt>
                <c:pt idx="2">
                  <c:v>隔离</c:v>
                </c:pt>
                <c:pt idx="3">
                  <c:v>粉底液</c:v>
                </c:pt>
              </c:strCache>
            </c:strRef>
          </c:cat>
          <c:val>
            <c:numRef>
              <c:f>'4 动态组合图'!$C$19:$F$19</c:f>
              <c:numCache>
                <c:formatCode>General</c:formatCode>
                <c:ptCount val="4"/>
                <c:pt idx="0">
                  <c:v>1896</c:v>
                </c:pt>
                <c:pt idx="1">
                  <c:v>1563</c:v>
                </c:pt>
                <c:pt idx="2">
                  <c:v>986</c:v>
                </c:pt>
                <c:pt idx="3">
                  <c:v>1324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6BF-4EF9-B31E-05D2B17E8267}"/>
            </c:ext>
          </c:extLst>
        </c:ser>
        <c:dLbls/>
        <c:gapWidth val="219"/>
        <c:overlap val="-27"/>
        <c:axId val="77596544"/>
        <c:axId val="77598080"/>
      </c:barChart>
      <c:lineChart>
        <c:grouping val="standard"/>
        <c:ser>
          <c:idx val="2"/>
          <c:order val="2"/>
          <c:tx>
            <c:strRef>
              <c:f>'4 动态组合图'!$B$20</c:f>
              <c:strCache>
                <c:ptCount val="1"/>
                <c:pt idx="0">
                  <c:v>利润率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'4 动态组合图'!$C$17:$F$17</c:f>
              <c:strCache>
                <c:ptCount val="4"/>
                <c:pt idx="0">
                  <c:v>口红</c:v>
                </c:pt>
                <c:pt idx="1">
                  <c:v>面膜</c:v>
                </c:pt>
                <c:pt idx="2">
                  <c:v>隔离</c:v>
                </c:pt>
                <c:pt idx="3">
                  <c:v>粉底液</c:v>
                </c:pt>
              </c:strCache>
            </c:strRef>
          </c:cat>
          <c:val>
            <c:numRef>
              <c:f>'4 动态组合图'!$C$20:$F$20</c:f>
              <c:numCache>
                <c:formatCode>0%</c:formatCode>
                <c:ptCount val="4"/>
                <c:pt idx="0">
                  <c:v>0.67714285714285716</c:v>
                </c:pt>
                <c:pt idx="1">
                  <c:v>0.60959438377535102</c:v>
                </c:pt>
                <c:pt idx="2">
                  <c:v>0.43207712532865905</c:v>
                </c:pt>
                <c:pt idx="3">
                  <c:v>0.56268593285167867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E6BF-4EF9-B31E-05D2B17E8267}"/>
            </c:ext>
          </c:extLst>
        </c:ser>
        <c:dLbls/>
        <c:marker val="1"/>
        <c:axId val="77613696"/>
        <c:axId val="77612160"/>
      </c:lineChart>
      <c:catAx>
        <c:axId val="77596544"/>
        <c:scaling>
          <c:orientation val="minMax"/>
        </c:scaling>
        <c:axPos val="b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lt1">
                <a:shade val="50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7598080"/>
        <c:crosses val="autoZero"/>
        <c:auto val="1"/>
        <c:lblAlgn val="ctr"/>
        <c:lblOffset val="100"/>
      </c:catAx>
      <c:valAx>
        <c:axId val="77598080"/>
        <c:scaling>
          <c:orientation val="minMax"/>
          <c:max val="4000"/>
          <c:min val="0"/>
        </c:scaling>
        <c:axPos val="l"/>
        <c:numFmt formatCode="General" sourceLinked="1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7596544"/>
        <c:crosses val="autoZero"/>
        <c:crossBetween val="between"/>
      </c:valAx>
      <c:valAx>
        <c:axId val="77612160"/>
        <c:scaling>
          <c:orientation val="minMax"/>
          <c:max val="1"/>
          <c:min val="-1"/>
        </c:scaling>
        <c:axPos val="r"/>
        <c:numFmt formatCode="0%" sourceLinked="1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7613696"/>
        <c:crosses val="max"/>
        <c:crossBetween val="between"/>
      </c:valAx>
      <c:catAx>
        <c:axId val="77613696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77612160"/>
        <c:crosses val="autoZero"/>
        <c:auto val="1"/>
        <c:lblAlgn val="ctr"/>
        <c:lblOffset val="100"/>
      </c:catAx>
      <c:spPr>
        <a:noFill/>
        <a:ln>
          <a:noFill/>
        </a:ln>
        <a:effectLst/>
      </c:spPr>
    </c:plotArea>
    <c:plotVisOnly val="1"/>
    <c:dispBlanksAs val="gap"/>
  </c:chart>
  <c:spPr>
    <a:solidFill>
      <a:srgbClr val="1A1E43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pivotSource>
    <c:name>[第三章 动态图表.xlsm]5 透视表切片器!数据透视表1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altLang="zh-CN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outEnd"/>
          <c:showVal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gradFill>
            <a:gsLst>
              <a:gs pos="0">
                <a:srgbClr val="0070C0"/>
              </a:gs>
              <a:gs pos="100000">
                <a:srgbClr val="00B0F0"/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altLang="zh-CN" sz="900" b="0" i="0" u="none" strike="noStrike" kern="1200" baseline="0">
                  <a:solidFill>
                    <a:schemeClr val="bg1">
                      <a:lumMod val="9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outEnd"/>
          <c:showVal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0">
                <a:srgbClr val="0070C0"/>
              </a:gs>
              <a:gs pos="100000">
                <a:srgbClr val="00B0F0"/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altLang="zh-CN" sz="900" b="0" i="0" u="none" strike="noStrike" kern="1200" baseline="0">
                  <a:solidFill>
                    <a:schemeClr val="bg1">
                      <a:lumMod val="9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outEnd"/>
          <c:showVal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5347137371873504E-2"/>
          <c:y val="0.26297180594361197"/>
          <c:w val="0.86427902238149357"/>
          <c:h val="0.55952432632137994"/>
        </c:manualLayout>
      </c:layout>
      <c:barChart>
        <c:barDir val="col"/>
        <c:grouping val="clustered"/>
        <c:ser>
          <c:idx val="0"/>
          <c:order val="0"/>
          <c:tx>
            <c:strRef>
              <c:f>'5 透视表切片器'!$C$3</c:f>
              <c:strCache>
                <c:ptCount val="1"/>
                <c:pt idx="0">
                  <c:v>汇总</c:v>
                </c:pt>
              </c:strCache>
            </c:strRef>
          </c:tx>
          <c:spPr>
            <a:gradFill>
              <a:gsLst>
                <a:gs pos="0">
                  <a:srgbClr val="0070C0"/>
                </a:gs>
                <a:gs pos="100000">
                  <a:srgbClr val="00B0F0"/>
                </a:gs>
              </a:gsLst>
              <a:lin ang="5400000" scaled="0"/>
            </a:gradFill>
            <a:ln>
              <a:noFill/>
            </a:ln>
            <a:effectLst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altLang="zh-CN" sz="900" b="0" i="0" u="none" strike="noStrike" kern="1200" baseline="0">
                    <a:solidFill>
                      <a:schemeClr val="bg1">
                        <a:lumMod val="9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outEnd"/>
            <c:showVal val="1"/>
          </c:dLbls>
          <c:cat>
            <c:strRef>
              <c:f>'5 透视表切片器'!$B$4:$B$9</c:f>
              <c:strCache>
                <c:ptCount val="5"/>
                <c:pt idx="0">
                  <c:v>本科</c:v>
                </c:pt>
                <c:pt idx="1">
                  <c:v>博士</c:v>
                </c:pt>
                <c:pt idx="2">
                  <c:v>高中</c:v>
                </c:pt>
                <c:pt idx="3">
                  <c:v>硕士</c:v>
                </c:pt>
                <c:pt idx="4">
                  <c:v>专科</c:v>
                </c:pt>
              </c:strCache>
            </c:strRef>
          </c:cat>
          <c:val>
            <c:numRef>
              <c:f>'5 透视表切片器'!$C$4:$C$9</c:f>
              <c:numCache>
                <c:formatCode>0.00_);[Red]\(0.00\)</c:formatCode>
                <c:ptCount val="5"/>
                <c:pt idx="0">
                  <c:v>6138.3173913043474</c:v>
                </c:pt>
                <c:pt idx="1">
                  <c:v>7187</c:v>
                </c:pt>
                <c:pt idx="2">
                  <c:v>5853.6301369863013</c:v>
                </c:pt>
                <c:pt idx="3">
                  <c:v>6739.0123456790125</c:v>
                </c:pt>
                <c:pt idx="4">
                  <c:v>6908.042016806723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983-4CAB-AD32-3EF6A436D0A4}"/>
            </c:ext>
          </c:extLst>
        </c:ser>
        <c:dLbls>
          <c:showVal val="1"/>
        </c:dLbls>
        <c:gapWidth val="219"/>
        <c:overlap val="-28"/>
        <c:axId val="77863168"/>
        <c:axId val="77881344"/>
      </c:barChart>
      <c:catAx>
        <c:axId val="77863168"/>
        <c:scaling>
          <c:orientation val="minMax"/>
        </c:scaling>
        <c:axPos val="b"/>
        <c:numFmt formatCode="General" sourceLinked="1"/>
        <c:tickLblPos val="nextTo"/>
        <c:spPr>
          <a:noFill/>
          <a:ln w="9525" cap="flat" cmpd="sng" algn="ctr">
            <a:solidFill>
              <a:schemeClr val="bg1">
                <a:lumMod val="95000"/>
                <a:alpha val="2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altLang="zh-CN" sz="1000" b="0" i="0" u="none" strike="noStrike" kern="1200" baseline="0">
                <a:solidFill>
                  <a:schemeClr val="bg1">
                    <a:lumMod val="9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7881344"/>
        <c:crosses val="autoZero"/>
        <c:auto val="1"/>
        <c:lblAlgn val="ctr"/>
        <c:lblOffset val="100"/>
      </c:catAx>
      <c:valAx>
        <c:axId val="7788134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bg1">
                  <a:lumMod val="95000"/>
                  <a:alpha val="20000"/>
                </a:schemeClr>
              </a:solidFill>
              <a:prstDash val="lgDash"/>
              <a:round/>
            </a:ln>
            <a:effectLst/>
          </c:spPr>
        </c:majorGridlines>
        <c:numFmt formatCode="0.00_);[Red]\(0.00\)" sourceLinked="1"/>
        <c:tickLblPos val="none"/>
        <c:crossAx val="77863168"/>
        <c:crosses val="autoZero"/>
        <c:crossBetween val="between"/>
        <c:majorUnit val="2500"/>
      </c:valAx>
      <c:spPr>
        <a:noFill/>
        <a:ln>
          <a:noFill/>
        </a:ln>
        <a:effectLst/>
      </c:spPr>
    </c:plotArea>
    <c:plotVisOnly val="1"/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1A1E43"/>
    </a:solidFill>
    <a:ln w="9525" cap="flat" cmpd="sng" algn="ctr">
      <a:noFill/>
      <a:round/>
    </a:ln>
    <a:effectLst/>
  </c:spPr>
  <c:txPr>
    <a:bodyPr/>
    <a:lstStyle/>
    <a:p>
      <a:pPr>
        <a:defRPr lang="en-US" altLang="zh-CN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autoTitleDeleted val="1"/>
    <c:plotArea>
      <c:layout>
        <c:manualLayout>
          <c:layoutTarget val="inner"/>
          <c:xMode val="edge"/>
          <c:yMode val="edge"/>
          <c:x val="0.23797745870001544"/>
          <c:y val="0.22243566579673291"/>
          <c:w val="0.48622995654954898"/>
          <c:h val="0.65565285925661565"/>
        </c:manualLayout>
      </c:layout>
      <c:doughnutChart>
        <c:varyColors val="1"/>
        <c:ser>
          <c:idx val="0"/>
          <c:order val="0"/>
          <c:tx>
            <c:strRef>
              <c:f>'6 VBA动态玉玦图'!$C$10</c:f>
              <c:strCache>
                <c:ptCount val="1"/>
                <c:pt idx="0">
                  <c:v>个人主页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rgbClr val="1A1E43"/>
              </a:solidFill>
            </a:ln>
          </c:spPr>
          <c:dPt>
            <c:idx val="0"/>
            <c:spPr>
              <a:solidFill>
                <a:srgbClr val="00B0F0"/>
              </a:solidFill>
              <a:ln w="19050">
                <a:solidFill>
                  <a:srgbClr val="1A1E43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7042-44D8-AE6C-9C95227B24AE}"/>
              </c:ext>
            </c:extLst>
          </c:dPt>
          <c:dPt>
            <c:idx val="1"/>
            <c:spPr>
              <a:noFill/>
              <a:ln w="19050">
                <a:solidFill>
                  <a:srgbClr val="1A1E43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7042-44D8-AE6C-9C95227B24AE}"/>
              </c:ext>
            </c:extLst>
          </c:dPt>
          <c:dLbls>
            <c:dLbl>
              <c:idx val="1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042-44D8-AE6C-9C95227B24A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>
                        <a:lumMod val="9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Val val="1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'6 VBA动态玉玦图'!$B$11:$B$12</c:f>
              <c:strCache>
                <c:ptCount val="2"/>
                <c:pt idx="0">
                  <c:v>近30天</c:v>
                </c:pt>
                <c:pt idx="1">
                  <c:v>占位</c:v>
                </c:pt>
              </c:strCache>
            </c:strRef>
          </c:cat>
          <c:val>
            <c:numRef>
              <c:f>'6 VBA动态玉玦图'!$C$11:$C$12</c:f>
              <c:numCache>
                <c:formatCode>0%</c:formatCode>
                <c:ptCount val="2"/>
                <c:pt idx="0">
                  <c:v>0.09</c:v>
                </c:pt>
                <c:pt idx="1">
                  <c:v>0.41000000000000003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7042-44D8-AE6C-9C95227B24AE}"/>
            </c:ext>
          </c:extLst>
        </c:ser>
        <c:ser>
          <c:idx val="1"/>
          <c:order val="1"/>
          <c:tx>
            <c:strRef>
              <c:f>'6 VBA动态玉玦图'!$D$10</c:f>
              <c:strCache>
                <c:ptCount val="1"/>
                <c:pt idx="0">
                  <c:v>搜索</c:v>
                </c:pt>
              </c:strCache>
            </c:strRef>
          </c:tx>
          <c:spPr>
            <a:solidFill>
              <a:srgbClr val="11A7AD"/>
            </a:solidFill>
            <a:ln>
              <a:solidFill>
                <a:srgbClr val="1A1E43"/>
              </a:solidFill>
            </a:ln>
          </c:spPr>
          <c:dPt>
            <c:idx val="0"/>
            <c:spPr>
              <a:solidFill>
                <a:srgbClr val="11A7AD"/>
              </a:solidFill>
              <a:ln w="19050">
                <a:solidFill>
                  <a:srgbClr val="1A1E43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6-7042-44D8-AE6C-9C95227B24AE}"/>
              </c:ext>
            </c:extLst>
          </c:dPt>
          <c:dPt>
            <c:idx val="1"/>
            <c:spPr>
              <a:noFill/>
              <a:ln w="19050">
                <a:solidFill>
                  <a:srgbClr val="1A1E43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8-7042-44D8-AE6C-9C95227B24AE}"/>
              </c:ext>
            </c:extLst>
          </c:dPt>
          <c:dLbls>
            <c:dLbl>
              <c:idx val="1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042-44D8-AE6C-9C95227B24A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>
                        <a:lumMod val="9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Val val="1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'6 VBA动态玉玦图'!$B$11:$B$12</c:f>
              <c:strCache>
                <c:ptCount val="2"/>
                <c:pt idx="0">
                  <c:v>近30天</c:v>
                </c:pt>
                <c:pt idx="1">
                  <c:v>占位</c:v>
                </c:pt>
              </c:strCache>
            </c:strRef>
          </c:cat>
          <c:val>
            <c:numRef>
              <c:f>'6 VBA动态玉玦图'!$D$11:$D$12</c:f>
              <c:numCache>
                <c:formatCode>0%</c:formatCode>
                <c:ptCount val="2"/>
                <c:pt idx="0">
                  <c:v>0.24</c:v>
                </c:pt>
                <c:pt idx="1">
                  <c:v>0.26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7042-44D8-AE6C-9C95227B24AE}"/>
            </c:ext>
          </c:extLst>
        </c:ser>
        <c:ser>
          <c:idx val="2"/>
          <c:order val="2"/>
          <c:tx>
            <c:strRef>
              <c:f>'6 VBA动态玉玦图'!$E$10</c:f>
              <c:strCache>
                <c:ptCount val="1"/>
                <c:pt idx="0">
                  <c:v>关注页面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rgbClr val="1A1E43"/>
              </a:solidFill>
            </a:ln>
          </c:spPr>
          <c:dPt>
            <c:idx val="0"/>
            <c:spPr>
              <a:solidFill>
                <a:srgbClr val="FFC000"/>
              </a:solidFill>
              <a:ln w="19050">
                <a:solidFill>
                  <a:srgbClr val="1A1E43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7A55-4448-ADDA-95A433B90DB1}"/>
              </c:ext>
            </c:extLst>
          </c:dPt>
          <c:dPt>
            <c:idx val="1"/>
            <c:spPr>
              <a:noFill/>
              <a:ln w="19050">
                <a:solidFill>
                  <a:srgbClr val="1A1E43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7-7042-44D8-AE6C-9C95227B24AE}"/>
              </c:ext>
            </c:extLst>
          </c:dPt>
          <c:dLbls>
            <c:dLbl>
              <c:idx val="1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7042-44D8-AE6C-9C95227B24A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Val val="1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'6 VBA动态玉玦图'!$B$11:$B$12</c:f>
              <c:strCache>
                <c:ptCount val="2"/>
                <c:pt idx="0">
                  <c:v>近30天</c:v>
                </c:pt>
                <c:pt idx="1">
                  <c:v>占位</c:v>
                </c:pt>
              </c:strCache>
            </c:strRef>
          </c:cat>
          <c:val>
            <c:numRef>
              <c:f>'6 VBA动态玉玦图'!$E$11:$E$12</c:f>
              <c:numCache>
                <c:formatCode>0%</c:formatCode>
                <c:ptCount val="2"/>
                <c:pt idx="0">
                  <c:v>0.28999999999999998</c:v>
                </c:pt>
                <c:pt idx="1">
                  <c:v>0.21000000000000002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4-7042-44D8-AE6C-9C95227B24AE}"/>
            </c:ext>
          </c:extLst>
        </c:ser>
        <c:ser>
          <c:idx val="3"/>
          <c:order val="3"/>
          <c:tx>
            <c:strRef>
              <c:f>'6 VBA动态玉玦图'!$F$10</c:f>
              <c:strCache>
                <c:ptCount val="1"/>
                <c:pt idx="0">
                  <c:v>首页推荐</c:v>
                </c:pt>
              </c:strCache>
            </c:strRef>
          </c:tx>
          <c:spPr>
            <a:ln>
              <a:solidFill>
                <a:srgbClr val="1A1E43"/>
              </a:solidFill>
            </a:ln>
          </c:spPr>
          <c:dPt>
            <c:idx val="0"/>
            <c:spPr>
              <a:solidFill>
                <a:srgbClr val="E74E69"/>
              </a:solidFill>
              <a:ln w="19050">
                <a:solidFill>
                  <a:srgbClr val="1A1E43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6-7042-44D8-AE6C-9C95227B24AE}"/>
              </c:ext>
            </c:extLst>
          </c:dPt>
          <c:dPt>
            <c:idx val="1"/>
            <c:spPr>
              <a:noFill/>
              <a:ln w="19050">
                <a:solidFill>
                  <a:srgbClr val="1A1E43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8-7042-44D8-AE6C-9C95227B24AE}"/>
              </c:ext>
            </c:extLst>
          </c:dPt>
          <c:dLbls>
            <c:dLbl>
              <c:idx val="1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7042-44D8-AE6C-9C95227B24A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Val val="1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'6 VBA动态玉玦图'!$B$11:$B$12</c:f>
              <c:strCache>
                <c:ptCount val="2"/>
                <c:pt idx="0">
                  <c:v>近30天</c:v>
                </c:pt>
                <c:pt idx="1">
                  <c:v>占位</c:v>
                </c:pt>
              </c:strCache>
            </c:strRef>
          </c:cat>
          <c:val>
            <c:numRef>
              <c:f>'6 VBA动态玉玦图'!$F$11:$F$12</c:f>
              <c:numCache>
                <c:formatCode>0%</c:formatCode>
                <c:ptCount val="2"/>
                <c:pt idx="0">
                  <c:v>0.38</c:v>
                </c:pt>
                <c:pt idx="1">
                  <c:v>0.12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5-7042-44D8-AE6C-9C95227B24AE}"/>
            </c:ext>
          </c:extLst>
        </c:ser>
        <c:dLbls>
          <c:showVal val="1"/>
        </c:dLbls>
        <c:firstSliceAng val="0"/>
        <c:holeSize val="35"/>
      </c:doughnutChart>
      <c:spPr>
        <a:noFill/>
        <a:ln>
          <a:noFill/>
        </a:ln>
        <a:effectLst/>
      </c:spPr>
    </c:plotArea>
    <c:plotVisOnly val="1"/>
    <c:dispBlanksAs val="zero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1A1E43"/>
    </a:solidFill>
    <a:ln w="12700" cap="flat" cmpd="sng" algn="ctr">
      <a:solidFill>
        <a:srgbClr val="1A1E43"/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autoTitleDeleted val="1"/>
    <c:plotArea>
      <c:layout>
        <c:manualLayout>
          <c:layoutTarget val="inner"/>
          <c:xMode val="edge"/>
          <c:yMode val="edge"/>
          <c:x val="0.11936610029009533"/>
          <c:y val="0.26493688138181765"/>
          <c:w val="0.81900660312197804"/>
          <c:h val="0.63426468454509355"/>
        </c:manualLayout>
      </c:layout>
      <c:barChart>
        <c:barDir val="bar"/>
        <c:grouping val="stacked"/>
        <c:ser>
          <c:idx val="0"/>
          <c:order val="0"/>
          <c:tx>
            <c:strRef>
              <c:f>'7 动态滑珠图'!$D$14</c:f>
              <c:strCache>
                <c:ptCount val="1"/>
                <c:pt idx="0">
                  <c:v>完成率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cat>
            <c:strRef>
              <c:f>'7 动态滑珠图'!$C$15:$C$20</c:f>
              <c:strCache>
                <c:ptCount val="6"/>
                <c:pt idx="0">
                  <c:v>华北</c:v>
                </c:pt>
                <c:pt idx="1">
                  <c:v>华南</c:v>
                </c:pt>
                <c:pt idx="2">
                  <c:v>东北</c:v>
                </c:pt>
                <c:pt idx="3">
                  <c:v>西北</c:v>
                </c:pt>
                <c:pt idx="4">
                  <c:v>西南</c:v>
                </c:pt>
                <c:pt idx="5">
                  <c:v>华东</c:v>
                </c:pt>
              </c:strCache>
            </c:strRef>
          </c:cat>
          <c:val>
            <c:numRef>
              <c:f>'7 动态滑珠图'!$D$15:$D$20</c:f>
              <c:numCache>
                <c:formatCode>0%</c:formatCode>
                <c:ptCount val="6"/>
                <c:pt idx="0">
                  <c:v>0.32</c:v>
                </c:pt>
                <c:pt idx="1">
                  <c:v>0.49</c:v>
                </c:pt>
                <c:pt idx="2">
                  <c:v>0.65</c:v>
                </c:pt>
                <c:pt idx="3">
                  <c:v>0.73</c:v>
                </c:pt>
                <c:pt idx="4">
                  <c:v>0.53600000000000003</c:v>
                </c:pt>
                <c:pt idx="5">
                  <c:v>0.32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D527-42CA-9536-0B55A2AC2841}"/>
            </c:ext>
          </c:extLst>
        </c:ser>
        <c:ser>
          <c:idx val="1"/>
          <c:order val="1"/>
          <c:tx>
            <c:strRef>
              <c:f>'7 动态滑珠图'!$E$14</c:f>
              <c:strCache>
                <c:ptCount val="1"/>
                <c:pt idx="0">
                  <c:v>未完成率</c:v>
                </c:pt>
              </c:strCache>
            </c:strRef>
          </c:tx>
          <c:spPr>
            <a:solidFill>
              <a:schemeClr val="bg1">
                <a:lumMod val="95000"/>
                <a:alpha val="30000"/>
              </a:schemeClr>
            </a:solidFill>
            <a:ln>
              <a:noFill/>
            </a:ln>
            <a:effectLst/>
          </c:spPr>
          <c:cat>
            <c:strRef>
              <c:f>'7 动态滑珠图'!$C$15:$C$20</c:f>
              <c:strCache>
                <c:ptCount val="6"/>
                <c:pt idx="0">
                  <c:v>华北</c:v>
                </c:pt>
                <c:pt idx="1">
                  <c:v>华南</c:v>
                </c:pt>
                <c:pt idx="2">
                  <c:v>东北</c:v>
                </c:pt>
                <c:pt idx="3">
                  <c:v>西北</c:v>
                </c:pt>
                <c:pt idx="4">
                  <c:v>西南</c:v>
                </c:pt>
                <c:pt idx="5">
                  <c:v>华东</c:v>
                </c:pt>
              </c:strCache>
            </c:strRef>
          </c:cat>
          <c:val>
            <c:numRef>
              <c:f>'7 动态滑珠图'!$E$15:$E$20</c:f>
              <c:numCache>
                <c:formatCode>0%</c:formatCode>
                <c:ptCount val="6"/>
                <c:pt idx="0">
                  <c:v>0.67999999999999994</c:v>
                </c:pt>
                <c:pt idx="1">
                  <c:v>0.51</c:v>
                </c:pt>
                <c:pt idx="2">
                  <c:v>0.35</c:v>
                </c:pt>
                <c:pt idx="3">
                  <c:v>0.27</c:v>
                </c:pt>
                <c:pt idx="4">
                  <c:v>0.46399999999999997</c:v>
                </c:pt>
                <c:pt idx="5">
                  <c:v>0.67999999999999994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5-D527-42CA-9536-0B55A2AC2841}"/>
            </c:ext>
          </c:extLst>
        </c:ser>
        <c:dLbls/>
        <c:gapWidth val="200"/>
        <c:overlap val="100"/>
        <c:axId val="149433344"/>
        <c:axId val="149467904"/>
      </c:barChart>
      <c:scatterChart>
        <c:scatterStyle val="lineMarker"/>
        <c:ser>
          <c:idx val="2"/>
          <c:order val="2"/>
          <c:tx>
            <c:strRef>
              <c:f>'7 动态滑珠图'!$F$14</c:f>
              <c:strCache>
                <c:ptCount val="1"/>
                <c:pt idx="0">
                  <c:v>辅助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5"/>
            <c:spPr>
              <a:solidFill>
                <a:srgbClr val="0070C0"/>
              </a:solidFill>
              <a:ln w="12700">
                <a:solidFill>
                  <a:schemeClr val="bg1">
                    <a:lumMod val="95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C35D378-5D53-4477-9409-39E51083E34A}" type="CELLRANGE">
                      <a:rPr lang="en-US" altLang="zh-CN"/>
                      <a:pPr/>
                      <a:t>[CELLRANGE]</a:t>
                    </a:fld>
                    <a:endParaRPr lang="zh-CN" altLang="en-US"/>
                  </a:p>
                </c:rich>
              </c:tx>
              <c:extLst xmlns:c16r2="http://schemas.microsoft.com/office/drawing/2015/06/chart"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7-D527-42CA-9536-0B55A2AC284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D6BC0C4-2B67-475E-8E0C-CE34FCC2204D}" type="CELLRANGE">
                      <a:rPr lang="zh-CN" altLang="en-US"/>
                      <a:pPr/>
                      <a:t>[CELLRANGE]</a:t>
                    </a:fld>
                    <a:endParaRPr lang="zh-CN" altLang="en-US"/>
                  </a:p>
                </c:rich>
              </c:tx>
              <c:extLst xmlns:c16r2="http://schemas.microsoft.com/office/drawing/2015/06/chart"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527-42CA-9536-0B55A2AC284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37E68E3-F68D-415F-898D-44E6EAB55A93}" type="CELLRANGE">
                      <a:rPr lang="zh-CN" altLang="en-US"/>
                      <a:pPr/>
                      <a:t>[CELLRANGE]</a:t>
                    </a:fld>
                    <a:endParaRPr lang="zh-CN" altLang="en-US"/>
                  </a:p>
                </c:rich>
              </c:tx>
              <c:extLst xmlns:c16r2="http://schemas.microsoft.com/office/drawing/2015/06/chart"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527-42CA-9536-0B55A2AC284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40AA0F2-F5F2-491C-BD95-8D130F804202}" type="CELLRANGE">
                      <a:rPr lang="zh-CN" altLang="en-US"/>
                      <a:pPr/>
                      <a:t>[CELLRANGE]</a:t>
                    </a:fld>
                    <a:endParaRPr lang="zh-CN" altLang="en-US"/>
                  </a:p>
                </c:rich>
              </c:tx>
              <c:extLst xmlns:c16r2="http://schemas.microsoft.com/office/drawing/2015/06/chart"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527-42CA-9536-0B55A2AC284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CF4678D-A283-4EAF-8C56-5E6CE672F440}" type="CELLRANGE">
                      <a:rPr lang="zh-CN" altLang="en-US"/>
                      <a:pPr/>
                      <a:t>[CELLRANGE]</a:t>
                    </a:fld>
                    <a:endParaRPr lang="zh-CN" altLang="en-US"/>
                  </a:p>
                </c:rich>
              </c:tx>
              <c:extLst xmlns:c16r2="http://schemas.microsoft.com/office/drawing/2015/06/chart"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527-42CA-9536-0B55A2AC284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7A33DC9-44D8-4BB3-830A-C4FA35EE28E8}" type="CELLRANGE">
                      <a:rPr lang="zh-CN" altLang="en-US"/>
                      <a:pPr/>
                      <a:t>[CELLRANGE]</a:t>
                    </a:fld>
                    <a:endParaRPr lang="zh-CN" altLang="en-US"/>
                  </a:p>
                </c:rich>
              </c:tx>
              <c:extLst xmlns:c16r2="http://schemas.microsoft.com/office/drawing/2015/06/chart"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527-42CA-9536-0B55A2AC2841}"/>
                </c:ext>
              </c:extLst>
            </c:dLbl>
            <c:delete val="1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>
                        <a:lumMod val="9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'7 动态滑珠图'!$D$15:$D$20</c:f>
              <c:numCache>
                <c:formatCode>0%</c:formatCode>
                <c:ptCount val="6"/>
                <c:pt idx="0">
                  <c:v>0.32</c:v>
                </c:pt>
                <c:pt idx="1">
                  <c:v>0.49</c:v>
                </c:pt>
                <c:pt idx="2">
                  <c:v>0.65</c:v>
                </c:pt>
                <c:pt idx="3">
                  <c:v>0.73</c:v>
                </c:pt>
                <c:pt idx="4">
                  <c:v>0.53600000000000003</c:v>
                </c:pt>
                <c:pt idx="5">
                  <c:v>0.32</c:v>
                </c:pt>
              </c:numCache>
            </c:numRef>
          </c:xVal>
          <c:yVal>
            <c:numRef>
              <c:f>'7 动态滑珠图'!$F$15:$F$20</c:f>
              <c:numCache>
                <c:formatCode>General</c:formatCode>
                <c:ptCount val="6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9</c:v>
                </c:pt>
                <c:pt idx="5">
                  <c:v>11</c:v>
                </c:pt>
              </c:numCache>
            </c:numRef>
          </c:yVal>
          <c:extLst xmlns:c16r2="http://schemas.microsoft.com/office/drawing/2015/06/chart">
            <c:ext xmlns:c15="http://schemas.microsoft.com/office/drawing/2012/chart" uri="{02D57815-91ED-43cb-92C2-25804820EDAC}">
              <c15:datalabelsRange>
                <c15:f>'7 动态滑珠图'!$D$15:$D$20</c15:f>
                <c15:dlblRangeCache>
                  <c:ptCount val="6"/>
                  <c:pt idx="0">
                    <c:v>32%</c:v>
                  </c:pt>
                  <c:pt idx="1">
                    <c:v>49%</c:v>
                  </c:pt>
                  <c:pt idx="2">
                    <c:v>65%</c:v>
                  </c:pt>
                  <c:pt idx="3">
                    <c:v>73%</c:v>
                  </c:pt>
                  <c:pt idx="4">
                    <c:v>54%</c:v>
                  </c:pt>
                  <c:pt idx="5">
                    <c:v>32%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6-D527-42CA-9536-0B55A2AC2841}"/>
            </c:ext>
          </c:extLst>
        </c:ser>
        <c:dLbls/>
        <c:axId val="149471232"/>
        <c:axId val="149469440"/>
      </c:scatterChart>
      <c:catAx>
        <c:axId val="149433344"/>
        <c:scaling>
          <c:orientation val="minMax"/>
        </c:scaling>
        <c:axPos val="l"/>
        <c:numFmt formatCode="General" sourceLinked="1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9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9467904"/>
        <c:crosses val="autoZero"/>
        <c:auto val="1"/>
        <c:lblAlgn val="ctr"/>
        <c:lblOffset val="100"/>
      </c:catAx>
      <c:valAx>
        <c:axId val="149467904"/>
        <c:scaling>
          <c:orientation val="minMax"/>
          <c:max val="1"/>
        </c:scaling>
        <c:axPos val="b"/>
        <c:numFmt formatCode="0%" sourceLinked="1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9433344"/>
        <c:crosses val="autoZero"/>
        <c:crossBetween val="between"/>
      </c:valAx>
      <c:valAx>
        <c:axId val="149469440"/>
        <c:scaling>
          <c:orientation val="minMax"/>
        </c:scaling>
        <c:axPos val="r"/>
        <c:numFmt formatCode="General" sourceLinked="1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9471232"/>
        <c:crosses val="max"/>
        <c:crossBetween val="midCat"/>
      </c:valAx>
      <c:valAx>
        <c:axId val="149471232"/>
        <c:scaling>
          <c:orientation val="minMax"/>
        </c:scaling>
        <c:delete val="1"/>
        <c:axPos val="b"/>
        <c:numFmt formatCode="0%" sourceLinked="1"/>
        <c:tickLblPos val="none"/>
        <c:crossAx val="149469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1A1E43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39" fmlaLink="$J$3" fmlaRange="$B$4:$B$9" noThreeD="1" sel="5" val="0"/>
</file>

<file path=xl/ctrlProps/ctrlProp2.xml><?xml version="1.0" encoding="utf-8"?>
<formControlPr xmlns="http://schemas.microsoft.com/office/spreadsheetml/2009/9/main" objectType="Radio" checked="Checked" firstButton="1" fmlaLink="$I$3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CheckBox" checked="Checked" fmlaLink="$C$13" lockText="1" noThreeD="1"/>
</file>

<file path=xl/ctrlProps/ctrlProp5.xml><?xml version="1.0" encoding="utf-8"?>
<formControlPr xmlns="http://schemas.microsoft.com/office/spreadsheetml/2009/9/main" objectType="CheckBox" checked="Checked" fmlaLink="$D$13" lockText="1" noThreeD="1"/>
</file>

<file path=xl/ctrlProps/ctrlProp6.xml><?xml version="1.0" encoding="utf-8"?>
<formControlPr xmlns="http://schemas.microsoft.com/office/spreadsheetml/2009/9/main" objectType="CheckBox" checked="Checked" fmlaLink="$E$13" lockText="1" noThreeD="1"/>
</file>

<file path=xl/ctrlProps/ctrlProp7.xml><?xml version="1.0" encoding="utf-8"?>
<formControlPr xmlns="http://schemas.microsoft.com/office/spreadsheetml/2009/9/main" objectType="CheckBox" checked="Checked" fmlaLink="$C$13" lockText="1" noThreeD="1"/>
</file>

<file path=xl/ctrlProps/ctrlProp8.xml><?xml version="1.0" encoding="utf-8"?>
<formControlPr xmlns="http://schemas.microsoft.com/office/spreadsheetml/2009/9/main" objectType="CheckBox" checked="Checked" fmlaLink="$D$13" lockText="1" noThreeD="1"/>
</file>

<file path=xl/ctrlProps/ctrlProp9.xml><?xml version="1.0" encoding="utf-8"?>
<formControlPr xmlns="http://schemas.microsoft.com/office/spreadsheetml/2009/9/main" objectType="CheckBox" checked="Checked" fmlaLink="$E$13" lockText="1" noThreeD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Drop" dropStyle="combo" dx="39" fmlaLink="#REF!" fmlaRange="#REF!" noThreeD="1" sel="0" val="0"/>
</file>

<file path=xl/ctrlProps/ctrlProp13.xml><?xml version="1.0" encoding="utf-8"?>
<formControlPr xmlns="http://schemas.microsoft.com/office/spreadsheetml/2009/9/main" objectType="Drop" dropStyle="combo" dx="39" fmlaLink="#REF!" fmlaRange="#REF!" noThreeD="1" sel="0" val="0"/>
</file>

<file path=xl/ctrlProps/ctrlProp14.xml><?xml version="1.0" encoding="utf-8"?>
<formControlPr xmlns="http://schemas.microsoft.com/office/spreadsheetml/2009/9/main" objectType="Radio" checked="Checked" firstButton="1" fmlaLink="$K$2" lockText="1" noThreeD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Drop" dropStyle="combo" dx="39" fmlaLink="$K$3" fmlaRange="$B$15:$B$20" noThreeD="1" sel="1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771524</xdr:colOff>
      <xdr:row>2</xdr:row>
      <xdr:rowOff>0</xdr:rowOff>
    </xdr:from>
    <xdr:to>
      <xdr:col>17</xdr:col>
      <xdr:colOff>638174</xdr:colOff>
      <xdr:row>21</xdr:row>
      <xdr:rowOff>23812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0.05532</cdr:x>
      <cdr:y>0.90302</cdr:y>
    </cdr:from>
    <cdr:to>
      <cdr:x>0.97129</cdr:x>
      <cdr:y>1</cdr:y>
    </cdr:to>
    <cdr:sp macro="" textlink="">
      <cdr:nvSpPr>
        <cdr:cNvPr id="2" name="文本框 12">
          <a:extLst xmlns:a="http://schemas.openxmlformats.org/drawingml/2006/main">
            <a:ext uri="{FF2B5EF4-FFF2-40B4-BE49-F238E27FC236}">
              <a16:creationId xmlns:a16="http://schemas.microsoft.com/office/drawing/2014/main" xmlns="" id="{8016EA18-76C9-A6EB-6D5B-112D2E32D4E5}"/>
            </a:ext>
          </a:extLst>
        </cdr:cNvPr>
        <cdr:cNvSpPr txBox="1"/>
      </cdr:nvSpPr>
      <cdr:spPr>
        <a:xfrm xmlns:a="http://schemas.openxmlformats.org/drawingml/2006/main">
          <a:off x="250825" y="2705100"/>
          <a:ext cx="4152897" cy="29051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800">
              <a:solidFill>
                <a:schemeClr val="bg1">
                  <a:lumMod val="8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*</a:t>
          </a:r>
          <a:r>
            <a:rPr lang="zh-CN" altLang="en-US" sz="800">
              <a:solidFill>
                <a:schemeClr val="bg1">
                  <a:lumMod val="8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注：数据来源公司销售系统</a:t>
          </a:r>
        </a:p>
      </cdr:txBody>
    </cdr:sp>
  </cdr:relSizeAnchor>
  <cdr:relSizeAnchor xmlns:cdr="http://schemas.openxmlformats.org/drawingml/2006/chartDrawing">
    <cdr:from>
      <cdr:x>0.05428</cdr:x>
      <cdr:y>0.07688</cdr:y>
    </cdr:from>
    <cdr:to>
      <cdr:x>0.92228</cdr:x>
      <cdr:y>0.20088</cdr:y>
    </cdr:to>
    <cdr:sp macro="" textlink="">
      <cdr:nvSpPr>
        <cdr:cNvPr id="3" name="文本框 11">
          <a:extLst xmlns:a="http://schemas.openxmlformats.org/drawingml/2006/main">
            <a:ext uri="{FF2B5EF4-FFF2-40B4-BE49-F238E27FC236}">
              <a16:creationId xmlns:a16="http://schemas.microsoft.com/office/drawing/2014/main" xmlns="" id="{404B73C5-2B67-BA91-A247-23459B3C7A15}"/>
            </a:ext>
          </a:extLst>
        </cdr:cNvPr>
        <cdr:cNvSpPr txBox="1"/>
      </cdr:nvSpPr>
      <cdr:spPr>
        <a:xfrm xmlns:a="http://schemas.openxmlformats.org/drawingml/2006/main">
          <a:off x="245597" y="258849"/>
          <a:ext cx="3927157" cy="41751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>
            <a:lnSpc>
              <a:spcPts val="2000"/>
            </a:lnSpc>
          </a:pPr>
          <a:r>
            <a:rPr lang="en-US" altLang="zh-CN" sz="18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2022</a:t>
          </a:r>
          <a:r>
            <a:rPr lang="zh-CN" altLang="en-US" sz="18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年上半年各区域销售情况</a:t>
          </a:r>
          <a:endParaRPr lang="en-US" altLang="zh-CN" sz="18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</xdr:colOff>
      <xdr:row>6</xdr:row>
      <xdr:rowOff>1</xdr:rowOff>
    </xdr:from>
    <xdr:to>
      <xdr:col>18</xdr:col>
      <xdr:colOff>1</xdr:colOff>
      <xdr:row>21</xdr:row>
      <xdr:rowOff>1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228600</xdr:colOff>
      <xdr:row>3</xdr:row>
      <xdr:rowOff>38099</xdr:rowOff>
    </xdr:from>
    <xdr:to>
      <xdr:col>15</xdr:col>
      <xdr:colOff>319088</xdr:colOff>
      <xdr:row>6</xdr:row>
      <xdr:rowOff>38101</xdr:rowOff>
    </xdr:to>
    <xdr:sp macro="" textlink="$I$10">
      <xdr:nvSpPr>
        <xdr:cNvPr id="3" name="文本框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 txBox="1"/>
      </xdr:nvSpPr>
      <xdr:spPr>
        <a:xfrm>
          <a:off x="6962775" y="566737"/>
          <a:ext cx="2681288" cy="5286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2E6E17B-AC51-4981-B342-D4CA8BC0B876}" type="TxLink">
            <a:rPr lang="en-US" altLang="en-US" sz="1800" b="0" i="0" u="none" strike="noStrike">
              <a:solidFill>
                <a:schemeClr val="bg1">
                  <a:lumMod val="95000"/>
                </a:schemeClr>
              </a:solidFill>
              <a:latin typeface="等线"/>
              <a:ea typeface="等线"/>
            </a:rPr>
            <a:pPr/>
            <a:t>4月公司总人数为1637</a:t>
          </a:fld>
          <a:endParaRPr lang="zh-CN" altLang="en-US" sz="4000">
            <a:solidFill>
              <a:schemeClr val="bg1">
                <a:lumMod val="95000"/>
              </a:schemeClr>
            </a:solidFill>
          </a:endParaRPr>
        </a:p>
      </xdr:txBody>
    </xdr: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0.06062</cdr:x>
      <cdr:y>0.88632</cdr:y>
    </cdr:from>
    <cdr:to>
      <cdr:x>0.77049</cdr:x>
      <cdr:y>0.9543</cdr:y>
    </cdr:to>
    <cdr:sp macro="" textlink="">
      <cdr:nvSpPr>
        <cdr:cNvPr id="4" name="文本框 12">
          <a:extLst xmlns:a="http://schemas.openxmlformats.org/drawingml/2006/main">
            <a:ext uri="{FF2B5EF4-FFF2-40B4-BE49-F238E27FC236}">
              <a16:creationId xmlns:a16="http://schemas.microsoft.com/office/drawing/2014/main" xmlns="" id="{8576AC34-7234-2831-ECF5-9D5830D832BB}"/>
            </a:ext>
          </a:extLst>
        </cdr:cNvPr>
        <cdr:cNvSpPr txBox="1"/>
      </cdr:nvSpPr>
      <cdr:spPr>
        <a:xfrm xmlns:a="http://schemas.openxmlformats.org/drawingml/2006/main">
          <a:off x="274830" y="2342720"/>
          <a:ext cx="3218480" cy="17968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altLang="zh-CN" sz="800">
              <a:solidFill>
                <a:schemeClr val="bg1">
                  <a:lumMod val="8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*</a:t>
          </a:r>
          <a:r>
            <a:rPr lang="zh-CN" altLang="en-US" sz="800">
              <a:solidFill>
                <a:schemeClr val="bg1">
                  <a:lumMod val="8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注：数据来源公司人力资源系统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</xdr:row>
      <xdr:rowOff>0</xdr:rowOff>
    </xdr:from>
    <xdr:to>
      <xdr:col>18</xdr:col>
      <xdr:colOff>0</xdr:colOff>
      <xdr:row>21</xdr:row>
      <xdr:rowOff>176211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0.05013</cdr:x>
      <cdr:y>0.04189</cdr:y>
    </cdr:from>
    <cdr:to>
      <cdr:x>0.94064</cdr:x>
      <cdr:y>0.18035</cdr:y>
    </cdr:to>
    <cdr:sp macro="" textlink="">
      <cdr:nvSpPr>
        <cdr:cNvPr id="2" name="文本框 11">
          <a:extLst xmlns:a="http://schemas.openxmlformats.org/drawingml/2006/main">
            <a:ext uri="{FF2B5EF4-FFF2-40B4-BE49-F238E27FC236}">
              <a16:creationId xmlns:a16="http://schemas.microsoft.com/office/drawing/2014/main" xmlns="" id="{CE173B75-CC17-57E4-6652-38673EFBFC27}"/>
            </a:ext>
          </a:extLst>
        </cdr:cNvPr>
        <cdr:cNvSpPr txBox="1"/>
      </cdr:nvSpPr>
      <cdr:spPr>
        <a:xfrm xmlns:a="http://schemas.openxmlformats.org/drawingml/2006/main">
          <a:off x="227268" y="147638"/>
          <a:ext cx="4037483" cy="4879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18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2022</a:t>
          </a:r>
          <a:r>
            <a:rPr lang="zh-CN" altLang="en-US" sz="18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年</a:t>
          </a:r>
          <a:r>
            <a:rPr lang="en-US" altLang="zh-CN" sz="18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6</a:t>
          </a:r>
          <a:r>
            <a:rPr lang="zh-CN" altLang="en-US" sz="18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月</a:t>
          </a:r>
          <a:r>
            <a:rPr lang="en-US" altLang="zh-CN" sz="18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30</a:t>
          </a:r>
          <a:r>
            <a:rPr lang="zh-CN" altLang="en-US" sz="18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日流量来源分布</a:t>
          </a:r>
          <a:endParaRPr lang="en-US" altLang="zh-CN" sz="18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</cdr:txBody>
    </cdr:sp>
  </cdr:relSizeAnchor>
  <cdr:relSizeAnchor xmlns:cdr="http://schemas.openxmlformats.org/drawingml/2006/chartDrawing">
    <cdr:from>
      <cdr:x>0.03854</cdr:x>
      <cdr:y>0.89112</cdr:y>
    </cdr:from>
    <cdr:to>
      <cdr:x>0.74323</cdr:x>
      <cdr:y>0.96207</cdr:y>
    </cdr:to>
    <cdr:sp macro="" textlink="">
      <cdr:nvSpPr>
        <cdr:cNvPr id="3" name="文本框 12">
          <a:extLst xmlns:a="http://schemas.openxmlformats.org/drawingml/2006/main">
            <a:ext uri="{FF2B5EF4-FFF2-40B4-BE49-F238E27FC236}">
              <a16:creationId xmlns:a16="http://schemas.microsoft.com/office/drawing/2014/main" xmlns="" id="{E25E8920-C51C-4460-26E3-F3F0A4C0AA33}"/>
            </a:ext>
          </a:extLst>
        </cdr:cNvPr>
        <cdr:cNvSpPr txBox="1"/>
      </cdr:nvSpPr>
      <cdr:spPr>
        <a:xfrm xmlns:a="http://schemas.openxmlformats.org/drawingml/2006/main">
          <a:off x="174724" y="3140512"/>
          <a:ext cx="3194994" cy="2500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800">
              <a:solidFill>
                <a:schemeClr val="bg1">
                  <a:lumMod val="8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*</a:t>
          </a:r>
          <a:r>
            <a:rPr lang="zh-CN" altLang="en-US" sz="800">
              <a:solidFill>
                <a:schemeClr val="bg1">
                  <a:lumMod val="8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注：数据来源公司网站</a:t>
          </a:r>
        </a:p>
      </cdr:txBody>
    </cdr:sp>
  </cdr:relSizeAnchor>
  <cdr:relSizeAnchor xmlns:cdr="http://schemas.openxmlformats.org/drawingml/2006/chartDrawing">
    <cdr:from>
      <cdr:x>0.72108</cdr:x>
      <cdr:y>0.33412</cdr:y>
    </cdr:from>
    <cdr:to>
      <cdr:x>0.90847</cdr:x>
      <cdr:y>0.3995</cdr:y>
    </cdr:to>
    <cdr:grpSp>
      <cdr:nvGrpSpPr>
        <cdr:cNvPr id="4" name="组合 3">
          <a:extLst xmlns:a="http://schemas.openxmlformats.org/drawingml/2006/main">
            <a:ext uri="{FF2B5EF4-FFF2-40B4-BE49-F238E27FC236}">
              <a16:creationId xmlns:a16="http://schemas.microsoft.com/office/drawing/2014/main" xmlns="" id="{B184B99B-A6F4-4AAC-E648-0249568AF958}"/>
            </a:ext>
          </a:extLst>
        </cdr:cNvPr>
        <cdr:cNvGrpSpPr/>
      </cdr:nvGrpSpPr>
      <cdr:grpSpPr>
        <a:xfrm xmlns:a="http://schemas.openxmlformats.org/drawingml/2006/main">
          <a:off x="3269296" y="1177517"/>
          <a:ext cx="849607" cy="230416"/>
          <a:chOff x="3173676" y="0"/>
          <a:chExt cx="1019791" cy="242888"/>
        </a:xfrm>
      </cdr:grpSpPr>
      <cdr:cxnSp macro="">
        <cdr:nvCxnSpPr>
          <cdr:cNvPr id="20" name="直接连接符 19">
            <a:extLst xmlns:a="http://schemas.openxmlformats.org/drawingml/2006/main">
              <a:ext uri="{FF2B5EF4-FFF2-40B4-BE49-F238E27FC236}">
                <a16:creationId xmlns:a16="http://schemas.microsoft.com/office/drawing/2014/main" xmlns="" id="{A409B989-A52E-D193-908B-173684D1AA5D}"/>
              </a:ext>
            </a:extLst>
          </cdr:cNvPr>
          <cdr:cNvCxnSpPr/>
        </cdr:nvCxnSpPr>
        <cdr:spPr>
          <a:xfrm xmlns:a="http://schemas.openxmlformats.org/drawingml/2006/main">
            <a:off x="3385917" y="0"/>
            <a:ext cx="807550" cy="0"/>
          </a:xfrm>
          <a:prstGeom xmlns:a="http://schemas.openxmlformats.org/drawingml/2006/main" prst="line">
            <a:avLst/>
          </a:prstGeom>
          <a:ln xmlns:a="http://schemas.openxmlformats.org/drawingml/2006/main">
            <a:solidFill>
              <a:srgbClr val="4A5BD1"/>
            </a:solidFill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</cdr:cxnSp>
      <cdr:cxnSp macro="">
        <cdr:nvCxnSpPr>
          <cdr:cNvPr id="21" name="直接连接符 20">
            <a:extLst xmlns:a="http://schemas.openxmlformats.org/drawingml/2006/main">
              <a:ext uri="{FF2B5EF4-FFF2-40B4-BE49-F238E27FC236}">
                <a16:creationId xmlns:a16="http://schemas.microsoft.com/office/drawing/2014/main" xmlns="" id="{A1CBD9BB-B0B7-5F62-BC82-38CABAA50D60}"/>
              </a:ext>
            </a:extLst>
          </cdr:cNvPr>
          <cdr:cNvCxnSpPr/>
        </cdr:nvCxnSpPr>
        <cdr:spPr>
          <a:xfrm xmlns:a="http://schemas.openxmlformats.org/drawingml/2006/main" flipV="1">
            <a:off x="3173676" y="4763"/>
            <a:ext cx="207064" cy="238125"/>
          </a:xfrm>
          <a:prstGeom xmlns:a="http://schemas.openxmlformats.org/drawingml/2006/main" prst="line">
            <a:avLst/>
          </a:prstGeom>
          <a:ln xmlns:a="http://schemas.openxmlformats.org/drawingml/2006/main" w="0">
            <a:solidFill>
              <a:srgbClr val="4A5BD1"/>
            </a:solidFill>
            <a:round/>
            <a:headEnd type="oval" w="sm" len="sm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</cdr:cxnSp>
    </cdr:grpSp>
  </cdr:relSizeAnchor>
  <cdr:relSizeAnchor xmlns:cdr="http://schemas.openxmlformats.org/drawingml/2006/chartDrawing">
    <cdr:from>
      <cdr:x>0.15532</cdr:x>
      <cdr:y>0.74231</cdr:y>
    </cdr:from>
    <cdr:to>
      <cdr:x>0.35766</cdr:x>
      <cdr:y>0.80219</cdr:y>
    </cdr:to>
    <cdr:grpSp>
      <cdr:nvGrpSpPr>
        <cdr:cNvPr id="5" name="组合 4">
          <a:extLst xmlns:a="http://schemas.openxmlformats.org/drawingml/2006/main">
            <a:ext uri="{FF2B5EF4-FFF2-40B4-BE49-F238E27FC236}">
              <a16:creationId xmlns:a16="http://schemas.microsoft.com/office/drawing/2014/main" xmlns="" id="{E582329F-2F94-2167-F53D-AA763A0C005C}"/>
            </a:ext>
          </a:extLst>
        </cdr:cNvPr>
        <cdr:cNvGrpSpPr/>
      </cdr:nvGrpSpPr>
      <cdr:grpSpPr>
        <a:xfrm xmlns:a="http://schemas.openxmlformats.org/drawingml/2006/main" rot="10800000">
          <a:off x="704205" y="2616085"/>
          <a:ext cx="917390" cy="211032"/>
          <a:chOff x="200038" y="1719646"/>
          <a:chExt cx="1101158" cy="222434"/>
        </a:xfrm>
      </cdr:grpSpPr>
      <cdr:cxnSp macro="">
        <cdr:nvCxnSpPr>
          <cdr:cNvPr id="18" name="直接连接符 17">
            <a:extLst xmlns:a="http://schemas.openxmlformats.org/drawingml/2006/main">
              <a:ext uri="{FF2B5EF4-FFF2-40B4-BE49-F238E27FC236}">
                <a16:creationId xmlns:a16="http://schemas.microsoft.com/office/drawing/2014/main" xmlns="" id="{4C4F1E29-7BE2-6E87-B32F-CDC45D1E83CE}"/>
              </a:ext>
            </a:extLst>
          </cdr:cNvPr>
          <cdr:cNvCxnSpPr/>
        </cdr:nvCxnSpPr>
        <cdr:spPr>
          <a:xfrm xmlns:a="http://schemas.openxmlformats.org/drawingml/2006/main">
            <a:off x="493642" y="1719646"/>
            <a:ext cx="807554" cy="0"/>
          </a:xfrm>
          <a:prstGeom xmlns:a="http://schemas.openxmlformats.org/drawingml/2006/main" prst="line">
            <a:avLst/>
          </a:prstGeom>
          <a:ln xmlns:a="http://schemas.openxmlformats.org/drawingml/2006/main">
            <a:solidFill>
              <a:srgbClr val="11A7AD"/>
            </a:solidFill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</cdr:cxnSp>
      <cdr:cxnSp macro="">
        <cdr:nvCxnSpPr>
          <cdr:cNvPr id="19" name="直接连接符 18">
            <a:extLst xmlns:a="http://schemas.openxmlformats.org/drawingml/2006/main">
              <a:ext uri="{FF2B5EF4-FFF2-40B4-BE49-F238E27FC236}">
                <a16:creationId xmlns:a16="http://schemas.microsoft.com/office/drawing/2014/main" xmlns="" id="{FA39ECA1-82B9-743F-3B0B-698F6F09C9F9}"/>
              </a:ext>
            </a:extLst>
          </cdr:cNvPr>
          <cdr:cNvCxnSpPr/>
        </cdr:nvCxnSpPr>
        <cdr:spPr>
          <a:xfrm xmlns:a="http://schemas.openxmlformats.org/drawingml/2006/main" rot="10800000" flipH="1">
            <a:off x="200038" y="1724409"/>
            <a:ext cx="295293" cy="217671"/>
          </a:xfrm>
          <a:prstGeom xmlns:a="http://schemas.openxmlformats.org/drawingml/2006/main" prst="line">
            <a:avLst/>
          </a:prstGeom>
          <a:ln xmlns:a="http://schemas.openxmlformats.org/drawingml/2006/main" w="0">
            <a:solidFill>
              <a:srgbClr val="11A7AD"/>
            </a:solidFill>
            <a:round/>
            <a:headEnd type="oval" w="sm" len="sm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</cdr:cxnSp>
    </cdr:grpSp>
  </cdr:relSizeAnchor>
  <cdr:relSizeAnchor xmlns:cdr="http://schemas.openxmlformats.org/drawingml/2006/chartDrawing">
    <cdr:from>
      <cdr:x>0.14628</cdr:x>
      <cdr:y>0.45695</cdr:y>
    </cdr:from>
    <cdr:to>
      <cdr:x>0.32847</cdr:x>
      <cdr:y>0.52179</cdr:y>
    </cdr:to>
    <cdr:grpSp>
      <cdr:nvGrpSpPr>
        <cdr:cNvPr id="6" name="组合 5">
          <a:extLst xmlns:a="http://schemas.openxmlformats.org/drawingml/2006/main">
            <a:ext uri="{FF2B5EF4-FFF2-40B4-BE49-F238E27FC236}">
              <a16:creationId xmlns:a16="http://schemas.microsoft.com/office/drawing/2014/main" xmlns="" id="{F2776E3C-8462-0D13-B6BF-D4C4FAC96206}"/>
            </a:ext>
          </a:extLst>
        </cdr:cNvPr>
        <cdr:cNvGrpSpPr/>
      </cdr:nvGrpSpPr>
      <cdr:grpSpPr>
        <a:xfrm xmlns:a="http://schemas.openxmlformats.org/drawingml/2006/main" rot="10800000">
          <a:off x="663219" y="1610406"/>
          <a:ext cx="826031" cy="228512"/>
          <a:chOff x="-225075" y="886585"/>
          <a:chExt cx="991401" cy="240876"/>
        </a:xfrm>
      </cdr:grpSpPr>
      <cdr:cxnSp macro="">
        <cdr:nvCxnSpPr>
          <cdr:cNvPr id="16" name="直接连接符 15">
            <a:extLst xmlns:a="http://schemas.openxmlformats.org/drawingml/2006/main">
              <a:ext uri="{FF2B5EF4-FFF2-40B4-BE49-F238E27FC236}">
                <a16:creationId xmlns:a16="http://schemas.microsoft.com/office/drawing/2014/main" xmlns="" id="{6675F581-79BD-05ED-FDA8-0F89F19B1D4E}"/>
              </a:ext>
            </a:extLst>
          </cdr:cNvPr>
          <cdr:cNvCxnSpPr/>
        </cdr:nvCxnSpPr>
        <cdr:spPr>
          <a:xfrm xmlns:a="http://schemas.openxmlformats.org/drawingml/2006/main">
            <a:off x="-41189" y="1122697"/>
            <a:ext cx="807515" cy="0"/>
          </a:xfrm>
          <a:prstGeom xmlns:a="http://schemas.openxmlformats.org/drawingml/2006/main" prst="line">
            <a:avLst/>
          </a:prstGeom>
          <a:ln xmlns:a="http://schemas.openxmlformats.org/drawingml/2006/main">
            <a:solidFill>
              <a:srgbClr val="FFC000"/>
            </a:solidFill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</cdr:cxnSp>
      <cdr:cxnSp macro="">
        <cdr:nvCxnSpPr>
          <cdr:cNvPr id="17" name="直接连接符 16">
            <a:extLst xmlns:a="http://schemas.openxmlformats.org/drawingml/2006/main">
              <a:ext uri="{FF2B5EF4-FFF2-40B4-BE49-F238E27FC236}">
                <a16:creationId xmlns:a16="http://schemas.microsoft.com/office/drawing/2014/main" xmlns="" id="{96F1C0D5-111E-D910-7A3A-F4D9904BDD18}"/>
              </a:ext>
            </a:extLst>
          </cdr:cNvPr>
          <cdr:cNvCxnSpPr/>
        </cdr:nvCxnSpPr>
        <cdr:spPr>
          <a:xfrm xmlns:a="http://schemas.openxmlformats.org/drawingml/2006/main" rot="10800000" flipH="1" flipV="1">
            <a:off x="-225075" y="886585"/>
            <a:ext cx="185365" cy="240876"/>
          </a:xfrm>
          <a:prstGeom xmlns:a="http://schemas.openxmlformats.org/drawingml/2006/main" prst="line">
            <a:avLst/>
          </a:prstGeom>
          <a:ln xmlns:a="http://schemas.openxmlformats.org/drawingml/2006/main" w="0">
            <a:solidFill>
              <a:srgbClr val="FFC000"/>
            </a:solidFill>
            <a:round/>
            <a:headEnd type="oval" w="sm" len="sm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</cdr:cxnSp>
    </cdr:grpSp>
  </cdr:relSizeAnchor>
  <cdr:relSizeAnchor xmlns:cdr="http://schemas.openxmlformats.org/drawingml/2006/chartDrawing">
    <cdr:from>
      <cdr:x>0.5842</cdr:x>
      <cdr:y>0.85799</cdr:y>
    </cdr:from>
    <cdr:to>
      <cdr:x>0.75185</cdr:x>
      <cdr:y>0.91953</cdr:y>
    </cdr:to>
    <cdr:grpSp>
      <cdr:nvGrpSpPr>
        <cdr:cNvPr id="7" name="组合 6">
          <a:extLst xmlns:a="http://schemas.openxmlformats.org/drawingml/2006/main">
            <a:ext uri="{FF2B5EF4-FFF2-40B4-BE49-F238E27FC236}">
              <a16:creationId xmlns:a16="http://schemas.microsoft.com/office/drawing/2014/main" xmlns="" id="{6D7314F0-C999-F957-8A20-1CB04C0BBD6C}"/>
            </a:ext>
          </a:extLst>
        </cdr:cNvPr>
        <cdr:cNvGrpSpPr/>
      </cdr:nvGrpSpPr>
      <cdr:grpSpPr>
        <a:xfrm xmlns:a="http://schemas.openxmlformats.org/drawingml/2006/main">
          <a:off x="2648704" y="3023770"/>
          <a:ext cx="760109" cy="216883"/>
          <a:chOff x="2869988" y="1736299"/>
          <a:chExt cx="864479" cy="228601"/>
        </a:xfrm>
      </cdr:grpSpPr>
      <cdr:cxnSp macro="">
        <cdr:nvCxnSpPr>
          <cdr:cNvPr id="14" name="直接连接符 13">
            <a:extLst xmlns:a="http://schemas.openxmlformats.org/drawingml/2006/main">
              <a:ext uri="{FF2B5EF4-FFF2-40B4-BE49-F238E27FC236}">
                <a16:creationId xmlns:a16="http://schemas.microsoft.com/office/drawing/2014/main" xmlns="" id="{977BEFA3-88B6-F4DC-538F-4C3B37219BF0}"/>
              </a:ext>
            </a:extLst>
          </cdr:cNvPr>
          <cdr:cNvCxnSpPr/>
        </cdr:nvCxnSpPr>
        <cdr:spPr>
          <a:xfrm xmlns:a="http://schemas.openxmlformats.org/drawingml/2006/main">
            <a:off x="3009420" y="1964899"/>
            <a:ext cx="725047" cy="0"/>
          </a:xfrm>
          <a:prstGeom xmlns:a="http://schemas.openxmlformats.org/drawingml/2006/main" prst="line">
            <a:avLst/>
          </a:prstGeom>
          <a:ln xmlns:a="http://schemas.openxmlformats.org/drawingml/2006/main">
            <a:solidFill>
              <a:srgbClr val="6073F3"/>
            </a:solidFill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</cdr:cxnSp>
      <cdr:cxnSp macro="">
        <cdr:nvCxnSpPr>
          <cdr:cNvPr id="15" name="直接连接符 14">
            <a:extLst xmlns:a="http://schemas.openxmlformats.org/drawingml/2006/main">
              <a:ext uri="{FF2B5EF4-FFF2-40B4-BE49-F238E27FC236}">
                <a16:creationId xmlns:a16="http://schemas.microsoft.com/office/drawing/2014/main" xmlns="" id="{7764A00F-4C16-6CE6-C53C-A2D2A663570C}"/>
              </a:ext>
            </a:extLst>
          </cdr:cNvPr>
          <cdr:cNvCxnSpPr/>
        </cdr:nvCxnSpPr>
        <cdr:spPr>
          <a:xfrm xmlns:a="http://schemas.openxmlformats.org/drawingml/2006/main">
            <a:off x="2869988" y="1736299"/>
            <a:ext cx="139432" cy="228601"/>
          </a:xfrm>
          <a:prstGeom xmlns:a="http://schemas.openxmlformats.org/drawingml/2006/main" prst="line">
            <a:avLst/>
          </a:prstGeom>
          <a:ln xmlns:a="http://schemas.openxmlformats.org/drawingml/2006/main" w="0">
            <a:solidFill>
              <a:srgbClr val="6073F3"/>
            </a:solidFill>
            <a:round/>
            <a:headEnd type="oval" w="sm" len="sm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</cdr:cxnSp>
    </cdr:grpSp>
  </cdr:relSizeAnchor>
  <cdr:relSizeAnchor xmlns:cdr="http://schemas.openxmlformats.org/drawingml/2006/chartDrawing">
    <cdr:from>
      <cdr:x>0.21558</cdr:x>
      <cdr:y>0.30726</cdr:y>
    </cdr:from>
    <cdr:to>
      <cdr:x>0.40291</cdr:x>
      <cdr:y>0.37211</cdr:y>
    </cdr:to>
    <cdr:grpSp>
      <cdr:nvGrpSpPr>
        <cdr:cNvPr id="26" name="组合 25">
          <a:extLst xmlns:a="http://schemas.openxmlformats.org/drawingml/2006/main">
            <a:ext uri="{FF2B5EF4-FFF2-40B4-BE49-F238E27FC236}">
              <a16:creationId xmlns:a16="http://schemas.microsoft.com/office/drawing/2014/main" xmlns="" id="{C7EFFA2C-0BEC-20EB-7671-3A85A3C8D0B4}"/>
            </a:ext>
          </a:extLst>
        </cdr:cNvPr>
        <cdr:cNvGrpSpPr/>
      </cdr:nvGrpSpPr>
      <cdr:grpSpPr>
        <a:xfrm xmlns:a="http://schemas.openxmlformats.org/drawingml/2006/main" rot="10800000">
          <a:off x="977418" y="1082861"/>
          <a:ext cx="849336" cy="228547"/>
          <a:chOff x="-219695" y="-233362"/>
          <a:chExt cx="1019387" cy="240876"/>
        </a:xfrm>
      </cdr:grpSpPr>
      <cdr:cxnSp macro="">
        <cdr:nvCxnSpPr>
          <cdr:cNvPr id="27" name="直接连接符 26">
            <a:extLst xmlns:a="http://schemas.openxmlformats.org/drawingml/2006/main">
              <a:ext uri="{FF2B5EF4-FFF2-40B4-BE49-F238E27FC236}">
                <a16:creationId xmlns:a16="http://schemas.microsoft.com/office/drawing/2014/main" xmlns="" id="{EF4D7B29-265D-0073-C439-2B6640D50E41}"/>
              </a:ext>
            </a:extLst>
          </cdr:cNvPr>
          <cdr:cNvCxnSpPr/>
        </cdr:nvCxnSpPr>
        <cdr:spPr>
          <a:xfrm xmlns:a="http://schemas.openxmlformats.org/drawingml/2006/main">
            <a:off x="-42176" y="4764"/>
            <a:ext cx="841868" cy="0"/>
          </a:xfrm>
          <a:prstGeom xmlns:a="http://schemas.openxmlformats.org/drawingml/2006/main" prst="line">
            <a:avLst/>
          </a:prstGeom>
          <a:ln xmlns:a="http://schemas.openxmlformats.org/drawingml/2006/main">
            <a:solidFill>
              <a:srgbClr val="E66B4C"/>
            </a:solidFill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</cdr:cxnSp>
      <cdr:cxnSp macro="">
        <cdr:nvCxnSpPr>
          <cdr:cNvPr id="28" name="直接连接符 27">
            <a:extLst xmlns:a="http://schemas.openxmlformats.org/drawingml/2006/main">
              <a:ext uri="{FF2B5EF4-FFF2-40B4-BE49-F238E27FC236}">
                <a16:creationId xmlns:a16="http://schemas.microsoft.com/office/drawing/2014/main" xmlns="" id="{8EEC2C94-F4DC-D74F-D8DD-31059DEE8D84}"/>
              </a:ext>
            </a:extLst>
          </cdr:cNvPr>
          <cdr:cNvCxnSpPr/>
        </cdr:nvCxnSpPr>
        <cdr:spPr>
          <a:xfrm xmlns:a="http://schemas.openxmlformats.org/drawingml/2006/main" rot="10800000" flipH="1" flipV="1">
            <a:off x="-219695" y="-233362"/>
            <a:ext cx="193251" cy="240876"/>
          </a:xfrm>
          <a:prstGeom xmlns:a="http://schemas.openxmlformats.org/drawingml/2006/main" prst="line">
            <a:avLst/>
          </a:prstGeom>
          <a:ln xmlns:a="http://schemas.openxmlformats.org/drawingml/2006/main" w="0">
            <a:solidFill>
              <a:srgbClr val="E66B4C"/>
            </a:solidFill>
            <a:round/>
            <a:headEnd type="oval" w="sm" len="sm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</cdr:cxnSp>
    </cdr:grp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171450</xdr:rowOff>
    </xdr:from>
    <xdr:to>
      <xdr:col>9</xdr:col>
      <xdr:colOff>0</xdr:colOff>
      <xdr:row>36</xdr:row>
      <xdr:rowOff>0</xdr:rowOff>
    </xdr:to>
    <xdr:graphicFrame macro="">
      <xdr:nvGraphicFramePr>
        <xdr:cNvPr id="12" name="图表 11">
          <a:extLst>
            <a:ext uri="{FF2B5EF4-FFF2-40B4-BE49-F238E27FC236}">
              <a16:creationId xmlns:a16="http://schemas.microsoft.com/office/drawing/2014/main" xmlns="" id="{00000000-0008-0000-03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0.05208</cdr:x>
      <cdr:y>0.91372</cdr:y>
    </cdr:from>
    <cdr:to>
      <cdr:x>0.85356</cdr:x>
      <cdr:y>1</cdr:y>
    </cdr:to>
    <cdr:sp macro="" textlink="">
      <cdr:nvSpPr>
        <cdr:cNvPr id="2" name="文本框 12">
          <a:extLst xmlns:a="http://schemas.openxmlformats.org/drawingml/2006/main">
            <a:ext uri="{FF2B5EF4-FFF2-40B4-BE49-F238E27FC236}">
              <a16:creationId xmlns:a16="http://schemas.microsoft.com/office/drawing/2014/main" xmlns="" id="{2817A776-F6BD-1857-FA59-0D8E6102F18E}"/>
            </a:ext>
          </a:extLst>
        </cdr:cNvPr>
        <cdr:cNvSpPr txBox="1"/>
      </cdr:nvSpPr>
      <cdr:spPr>
        <a:xfrm xmlns:a="http://schemas.openxmlformats.org/drawingml/2006/main">
          <a:off x="269875" y="3076573"/>
          <a:ext cx="4152917" cy="29051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800">
              <a:solidFill>
                <a:schemeClr val="bg1">
                  <a:lumMod val="8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*</a:t>
          </a:r>
          <a:r>
            <a:rPr lang="zh-CN" altLang="en-US" sz="800">
              <a:solidFill>
                <a:schemeClr val="bg1">
                  <a:lumMod val="8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注：数据来源公司销售系统</a:t>
          </a: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19047</xdr:colOff>
      <xdr:row>8</xdr:row>
      <xdr:rowOff>38100</xdr:rowOff>
    </xdr:from>
    <xdr:to>
      <xdr:col>13</xdr:col>
      <xdr:colOff>600074</xdr:colOff>
      <xdr:row>28</xdr:row>
      <xdr:rowOff>152399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xmlns="" id="{372FDD8D-E1E5-4A5B-B502-C280E63E04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33336</xdr:colOff>
      <xdr:row>2</xdr:row>
      <xdr:rowOff>114300</xdr:rowOff>
    </xdr:from>
    <xdr:to>
      <xdr:col>13</xdr:col>
      <xdr:colOff>604837</xdr:colOff>
      <xdr:row>7</xdr:row>
      <xdr:rowOff>138112</xdr:rowOff>
    </xdr:to>
    <mc:AlternateContent xmlns:mc="http://schemas.openxmlformats.org/markup-compatibility/2006">
      <mc:Choice xmlns:a14="http://schemas.microsoft.com/office/drawing/2010/main" xmlns="" Requires="a14">
        <xdr:graphicFrame macro="">
          <xdr:nvGraphicFramePr>
            <xdr:cNvPr id="5" name="部门">
              <a:extLst>
                <a:ext uri="{FF2B5EF4-FFF2-40B4-BE49-F238E27FC236}">
                  <a16:creationId xmlns:a16="http://schemas.microsoft.com/office/drawing/2014/main" id="{7A591318-B525-1F44-F18E-7842CA6AD61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部门"/>
            </a:graphicData>
          </a:graphic>
        </xdr:graphicFrame>
      </mc:Choice>
      <mc:Fallback>
        <xdr:sp macro="" textlink="">
          <xdr:nvSpPr>
            <xdr:cNvPr id="4" name="矩形 3"/>
            <xdr:cNvSpPr>
              <a:spLocks noTextEdit="1"/>
            </xdr:cNvSpPr>
          </xdr:nvSpPr>
          <xdr:spPr>
            <a:xfrm>
              <a:off x="4371974" y="466725"/>
              <a:ext cx="5105401" cy="9048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此形状代表切片器。Excel 2010 或更高版本支持切片器。
如果形状是在较早版本的 Excel 中修改，或者工作簿是在 Excel 2003 或更早版本中保存，则无法使用切片器。</a:t>
              </a:r>
            </a:p>
          </xdr:txBody>
        </xdr:sp>
      </mc:Fallback>
    </mc:AlternateContent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0.02886</cdr:x>
      <cdr:y>0.90525</cdr:y>
    </cdr:from>
    <cdr:to>
      <cdr:x>0.85073</cdr:x>
      <cdr:y>0.98297</cdr:y>
    </cdr:to>
    <cdr:sp macro="" textlink="">
      <cdr:nvSpPr>
        <cdr:cNvPr id="2" name="文本框 12">
          <a:extLst xmlns:a="http://schemas.openxmlformats.org/drawingml/2006/main">
            <a:ext uri="{FF2B5EF4-FFF2-40B4-BE49-F238E27FC236}">
              <a16:creationId xmlns:a16="http://schemas.microsoft.com/office/drawing/2014/main" xmlns="" id="{A975B153-8C74-20F2-A2C6-64029B58E32D}"/>
            </a:ext>
          </a:extLst>
        </cdr:cNvPr>
        <cdr:cNvSpPr txBox="1"/>
      </cdr:nvSpPr>
      <cdr:spPr>
        <a:xfrm xmlns:a="http://schemas.openxmlformats.org/drawingml/2006/main">
          <a:off x="147637" y="3293787"/>
          <a:ext cx="4203781" cy="2828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800">
              <a:solidFill>
                <a:schemeClr val="bg1">
                  <a:lumMod val="8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*</a:t>
          </a:r>
          <a:r>
            <a:rPr lang="zh-CN" altLang="en-US" sz="800">
              <a:solidFill>
                <a:schemeClr val="bg1">
                  <a:lumMod val="8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注：数据来源于人力资源管理系统，统计日期截至</a:t>
          </a:r>
          <a:r>
            <a:rPr lang="en-US" altLang="zh-CN" sz="800">
              <a:solidFill>
                <a:schemeClr val="bg1">
                  <a:lumMod val="8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2022.03.31</a:t>
          </a:r>
          <a:endParaRPr lang="zh-CN" altLang="en-US" sz="800">
            <a:solidFill>
              <a:schemeClr val="bg1">
                <a:lumMod val="85000"/>
              </a:schemeClr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</cdr:txBody>
    </cdr:sp>
  </cdr:relSizeAnchor>
  <cdr:relSizeAnchor xmlns:cdr="http://schemas.openxmlformats.org/drawingml/2006/chartDrawing">
    <cdr:from>
      <cdr:x>0.04066</cdr:x>
      <cdr:y>0.07461</cdr:y>
    </cdr:from>
    <cdr:to>
      <cdr:x>0.94941</cdr:x>
      <cdr:y>0.20811</cdr:y>
    </cdr:to>
    <cdr:sp macro="" textlink="">
      <cdr:nvSpPr>
        <cdr:cNvPr id="3" name="文本框 11">
          <a:extLst xmlns:a="http://schemas.openxmlformats.org/drawingml/2006/main">
            <a:ext uri="{FF2B5EF4-FFF2-40B4-BE49-F238E27FC236}">
              <a16:creationId xmlns:a16="http://schemas.microsoft.com/office/drawing/2014/main" xmlns="" id="{F81E1FAF-826A-FCE9-9CCB-FE951F0DC818}"/>
            </a:ext>
          </a:extLst>
        </cdr:cNvPr>
        <cdr:cNvSpPr txBox="1"/>
      </cdr:nvSpPr>
      <cdr:spPr>
        <a:xfrm xmlns:a="http://schemas.openxmlformats.org/drawingml/2006/main">
          <a:off x="207963" y="271462"/>
          <a:ext cx="4648206" cy="48576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>
            <a:lnSpc>
              <a:spcPts val="2400"/>
            </a:lnSpc>
          </a:pPr>
          <a:r>
            <a:rPr lang="zh-CN" altLang="en-US" sz="18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各学历平均工资情况</a:t>
          </a: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128587</xdr:colOff>
      <xdr:row>5</xdr:row>
      <xdr:rowOff>171449</xdr:rowOff>
    </xdr:from>
    <xdr:to>
      <xdr:col>26</xdr:col>
      <xdr:colOff>61912</xdr:colOff>
      <xdr:row>29</xdr:row>
      <xdr:rowOff>9525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 txBox="1"/>
      </xdr:nvSpPr>
      <xdr:spPr>
        <a:xfrm>
          <a:off x="12434887" y="1052512"/>
          <a:ext cx="3819525" cy="408146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CN" sz="1100"/>
            <a:t>Sub </a:t>
          </a:r>
          <a:r>
            <a:rPr lang="zh-CN" altLang="en-US" sz="1100"/>
            <a:t>近</a:t>
          </a:r>
          <a:r>
            <a:rPr lang="en-US" altLang="zh-CN" sz="1100"/>
            <a:t>7</a:t>
          </a:r>
          <a:r>
            <a:rPr lang="zh-CN" altLang="en-US" sz="1100"/>
            <a:t>天</a:t>
          </a:r>
          <a:r>
            <a:rPr lang="en-US" altLang="zh-CN" sz="1100"/>
            <a:t>()</a:t>
          </a:r>
        </a:p>
        <a:p>
          <a:r>
            <a:rPr lang="en-US" altLang="zh-CN" sz="1100"/>
            <a:t>'</a:t>
          </a:r>
        </a:p>
        <a:p>
          <a:r>
            <a:rPr lang="en-US" altLang="zh-CN" sz="1100"/>
            <a:t>' </a:t>
          </a:r>
          <a:r>
            <a:rPr lang="zh-CN" altLang="en-US" sz="1100"/>
            <a:t>近</a:t>
          </a:r>
          <a:r>
            <a:rPr lang="en-US" altLang="zh-CN" sz="1100"/>
            <a:t>7</a:t>
          </a:r>
          <a:r>
            <a:rPr lang="zh-CN" altLang="en-US" sz="1100"/>
            <a:t>天 宏</a:t>
          </a:r>
        </a:p>
        <a:p>
          <a:r>
            <a:rPr lang="en-US" altLang="zh-CN" sz="1100"/>
            <a:t>'</a:t>
          </a:r>
        </a:p>
        <a:p>
          <a:endParaRPr lang="en-US" altLang="zh-CN" sz="1100"/>
        </a:p>
        <a:p>
          <a:r>
            <a:rPr lang="en-US" altLang="zh-CN" sz="1100"/>
            <a:t>'</a:t>
          </a:r>
        </a:p>
        <a:p>
          <a:r>
            <a:rPr lang="en-US" altLang="zh-CN" sz="1100"/>
            <a:t>    Range("L3").Select</a:t>
          </a:r>
        </a:p>
        <a:p>
          <a:r>
            <a:rPr lang="en-US" altLang="zh-CN" sz="1100"/>
            <a:t>    ActiveCell.FormulaR1C1 = "</a:t>
          </a:r>
          <a:r>
            <a:rPr lang="zh-CN" altLang="en-US" sz="1100"/>
            <a:t>近</a:t>
          </a:r>
          <a:r>
            <a:rPr lang="en-US" altLang="zh-CN" sz="1100"/>
            <a:t>7</a:t>
          </a:r>
          <a:r>
            <a:rPr lang="zh-CN" altLang="en-US" sz="1100"/>
            <a:t>天</a:t>
          </a:r>
          <a:r>
            <a:rPr lang="en-US" altLang="zh-CN" sz="1100"/>
            <a:t>"</a:t>
          </a:r>
        </a:p>
        <a:p>
          <a:r>
            <a:rPr lang="en-US" altLang="zh-CN" sz="1100"/>
            <a:t>    Range("L4").Select</a:t>
          </a:r>
        </a:p>
        <a:p>
          <a:r>
            <a:rPr lang="en-US" altLang="zh-CN" sz="1100"/>
            <a:t>    </a:t>
          </a:r>
        </a:p>
        <a:p>
          <a:r>
            <a:rPr lang="en-US" altLang="zh-CN" sz="1100"/>
            <a:t>End Sub</a:t>
          </a:r>
        </a:p>
        <a:p>
          <a:r>
            <a:rPr lang="en-US" altLang="zh-CN" sz="1100"/>
            <a:t>Sub </a:t>
          </a:r>
          <a:r>
            <a:rPr lang="zh-CN" altLang="en-US" sz="1100"/>
            <a:t>近</a:t>
          </a:r>
          <a:r>
            <a:rPr lang="en-US" altLang="zh-CN" sz="1100"/>
            <a:t>30</a:t>
          </a:r>
          <a:r>
            <a:rPr lang="zh-CN" altLang="en-US" sz="1100"/>
            <a:t>天</a:t>
          </a:r>
          <a:r>
            <a:rPr lang="en-US" altLang="zh-CN" sz="1100"/>
            <a:t>()</a:t>
          </a:r>
        </a:p>
        <a:p>
          <a:r>
            <a:rPr lang="en-US" altLang="zh-CN" sz="1100"/>
            <a:t>'</a:t>
          </a:r>
        </a:p>
        <a:p>
          <a:r>
            <a:rPr lang="en-US" altLang="zh-CN" sz="1100"/>
            <a:t>' </a:t>
          </a:r>
          <a:r>
            <a:rPr lang="zh-CN" altLang="en-US" sz="1100"/>
            <a:t>近</a:t>
          </a:r>
          <a:r>
            <a:rPr lang="en-US" altLang="zh-CN" sz="1100"/>
            <a:t>30</a:t>
          </a:r>
          <a:r>
            <a:rPr lang="zh-CN" altLang="en-US" sz="1100"/>
            <a:t>天 宏</a:t>
          </a:r>
        </a:p>
        <a:p>
          <a:r>
            <a:rPr lang="en-US" altLang="zh-CN" sz="1100"/>
            <a:t>'</a:t>
          </a:r>
        </a:p>
        <a:p>
          <a:endParaRPr lang="en-US" altLang="zh-CN" sz="1100"/>
        </a:p>
        <a:p>
          <a:r>
            <a:rPr lang="en-US" altLang="zh-CN" sz="1100"/>
            <a:t>'</a:t>
          </a:r>
        </a:p>
        <a:p>
          <a:r>
            <a:rPr lang="en-US" altLang="zh-CN" sz="1100"/>
            <a:t>    Range("L3").Select</a:t>
          </a:r>
        </a:p>
        <a:p>
          <a:r>
            <a:rPr lang="en-US" altLang="zh-CN" sz="1100"/>
            <a:t>    ActiveCell.FormulaR1C1 = "</a:t>
          </a:r>
          <a:r>
            <a:rPr lang="zh-CN" altLang="en-US" sz="1100"/>
            <a:t>近</a:t>
          </a:r>
          <a:r>
            <a:rPr lang="en-US" altLang="zh-CN" sz="1100"/>
            <a:t>30</a:t>
          </a:r>
          <a:r>
            <a:rPr lang="zh-CN" altLang="en-US" sz="1100"/>
            <a:t>天</a:t>
          </a:r>
          <a:r>
            <a:rPr lang="en-US" altLang="zh-CN" sz="1100"/>
            <a:t>"</a:t>
          </a:r>
        </a:p>
        <a:p>
          <a:r>
            <a:rPr lang="en-US" altLang="zh-CN" sz="1100"/>
            <a:t>    Range("L4").Select</a:t>
          </a:r>
        </a:p>
        <a:p>
          <a:r>
            <a:rPr lang="en-US" altLang="zh-CN" sz="1100"/>
            <a:t>End Sub</a:t>
          </a:r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18</xdr:col>
      <xdr:colOff>0</xdr:colOff>
      <xdr:row>21</xdr:row>
      <xdr:rowOff>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247649</xdr:colOff>
      <xdr:row>2</xdr:row>
      <xdr:rowOff>119062</xdr:rowOff>
    </xdr:from>
    <xdr:to>
      <xdr:col>12</xdr:col>
      <xdr:colOff>581024</xdr:colOff>
      <xdr:row>5</xdr:row>
      <xdr:rowOff>9524</xdr:rowOff>
    </xdr:to>
    <xdr:sp macro="" textlink="$H$3">
      <xdr:nvSpPr>
        <xdr:cNvPr id="6" name="文本框 5">
          <a:extLst>
            <a:ext uri="{FF2B5EF4-FFF2-40B4-BE49-F238E27FC236}">
              <a16:creationId xmlns:a16="http://schemas.microsoft.com/office/drawing/2014/main" xmlns="" id="{00000000-0008-0000-0400-000006000000}"/>
            </a:ext>
          </a:extLst>
        </xdr:cNvPr>
        <xdr:cNvSpPr txBox="1"/>
      </xdr:nvSpPr>
      <xdr:spPr>
        <a:xfrm>
          <a:off x="7372349" y="471487"/>
          <a:ext cx="981075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D2AB0C3-AA27-4246-855F-E1D5D3D0B930}" type="TxLink">
            <a:rPr lang="zh-CN" altLang="en-US" sz="1800" b="1" i="0" u="none" strike="noStrike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pPr/>
            <a:t>近30天</a:t>
          </a:fld>
          <a:endParaRPr lang="zh-CN" altLang="en-US" sz="18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0.33723</cdr:x>
      <cdr:y>0.20237</cdr:y>
    </cdr:from>
    <cdr:to>
      <cdr:x>0.50552</cdr:x>
      <cdr:y>0.52829</cdr:y>
    </cdr:to>
    <cdr:sp macro="" textlink="">
      <cdr:nvSpPr>
        <cdr:cNvPr id="3" name="文本框 5">
          <a:extLst xmlns:a="http://schemas.openxmlformats.org/drawingml/2006/main">
            <a:ext uri="{FF2B5EF4-FFF2-40B4-BE49-F238E27FC236}">
              <a16:creationId xmlns:a16="http://schemas.microsoft.com/office/drawing/2014/main" xmlns="" id="{73766EB3-C066-0F56-ECC9-F4E1C31FD8B0}"/>
            </a:ext>
          </a:extLst>
        </cdr:cNvPr>
        <cdr:cNvSpPr txBox="1"/>
      </cdr:nvSpPr>
      <cdr:spPr>
        <a:xfrm xmlns:a="http://schemas.openxmlformats.org/drawingml/2006/main">
          <a:off x="1528945" y="680433"/>
          <a:ext cx="763010" cy="109584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ts val="15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000">
              <a:solidFill>
                <a:schemeClr val="bg1">
                  <a:lumMod val="95000"/>
                </a:schemeClr>
              </a:solidFill>
            </a:rPr>
            <a:t>首页推荐</a:t>
          </a:r>
          <a:endParaRPr lang="en-US" altLang="zh-CN" sz="1000">
            <a:solidFill>
              <a:schemeClr val="bg1">
                <a:lumMod val="95000"/>
              </a:schemeClr>
            </a:solidFill>
          </a:endParaRPr>
        </a:p>
        <a:p xmlns:a="http://schemas.openxmlformats.org/drawingml/2006/main">
          <a:pPr marL="0" marR="0" lvl="0" indent="0" defTabSz="914400" eaLnBrk="1" fontAlgn="auto" latinLnBrk="0" hangingPunct="1">
            <a:lnSpc>
              <a:spcPts val="15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000">
              <a:solidFill>
                <a:schemeClr val="bg1">
                  <a:lumMod val="95000"/>
                </a:schemeClr>
              </a:solidFill>
              <a:effectLst/>
              <a:latin typeface="+mn-lt"/>
              <a:ea typeface="+mn-ea"/>
              <a:cs typeface="+mn-cs"/>
            </a:rPr>
            <a:t>关注页面</a:t>
          </a:r>
          <a:endParaRPr lang="en-US" altLang="zh-CN" sz="1000">
            <a:solidFill>
              <a:schemeClr val="bg1">
                <a:lumMod val="95000"/>
              </a:schemeClr>
            </a:solidFill>
            <a:effectLst/>
            <a:latin typeface="+mn-lt"/>
            <a:ea typeface="+mn-ea"/>
            <a:cs typeface="+mn-cs"/>
          </a:endParaRPr>
        </a:p>
        <a:p xmlns:a="http://schemas.openxmlformats.org/drawingml/2006/main">
          <a:pPr marL="0" marR="0" lvl="0" indent="0" defTabSz="914400" eaLnBrk="1" fontAlgn="auto" latinLnBrk="0" hangingPunct="1">
            <a:lnSpc>
              <a:spcPts val="15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000">
              <a:solidFill>
                <a:schemeClr val="bg1">
                  <a:lumMod val="95000"/>
                </a:schemeClr>
              </a:solidFill>
              <a:effectLst/>
              <a:latin typeface="+mn-lt"/>
              <a:ea typeface="+mn-ea"/>
              <a:cs typeface="+mn-cs"/>
            </a:rPr>
            <a:t>         搜索</a:t>
          </a:r>
          <a:endParaRPr lang="en-US" altLang="zh-CN" sz="1000">
            <a:solidFill>
              <a:schemeClr val="bg1">
                <a:lumMod val="95000"/>
              </a:schemeClr>
            </a:solidFill>
            <a:effectLst/>
            <a:latin typeface="+mn-lt"/>
            <a:ea typeface="+mn-ea"/>
            <a:cs typeface="+mn-cs"/>
          </a:endParaRPr>
        </a:p>
        <a:p xmlns:a="http://schemas.openxmlformats.org/drawingml/2006/main">
          <a:pPr marL="0" marR="0" lvl="0" indent="0" defTabSz="914400" eaLnBrk="1" fontAlgn="auto" latinLnBrk="0" hangingPunct="1">
            <a:lnSpc>
              <a:spcPts val="15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000">
              <a:solidFill>
                <a:schemeClr val="bg1">
                  <a:lumMod val="95000"/>
                </a:schemeClr>
              </a:solidFill>
            </a:rPr>
            <a:t>个人主页</a:t>
          </a:r>
        </a:p>
      </cdr:txBody>
    </cdr:sp>
  </cdr:relSizeAnchor>
  <cdr:relSizeAnchor xmlns:cdr="http://schemas.openxmlformats.org/drawingml/2006/chartDrawing">
    <cdr:from>
      <cdr:x>0.23004</cdr:x>
      <cdr:y>0.03561</cdr:y>
    </cdr:from>
    <cdr:to>
      <cdr:x>0.97738</cdr:x>
      <cdr:y>0.18697</cdr:y>
    </cdr:to>
    <cdr:sp macro="" textlink="">
      <cdr:nvSpPr>
        <cdr:cNvPr id="4" name="文本框 11">
          <a:extLst xmlns:a="http://schemas.openxmlformats.org/drawingml/2006/main">
            <a:ext uri="{FF2B5EF4-FFF2-40B4-BE49-F238E27FC236}">
              <a16:creationId xmlns:a16="http://schemas.microsoft.com/office/drawing/2014/main" xmlns="" id="{E4235895-468F-81BC-7E34-812CCF467ECA}"/>
            </a:ext>
          </a:extLst>
        </cdr:cNvPr>
        <cdr:cNvSpPr txBox="1"/>
      </cdr:nvSpPr>
      <cdr:spPr>
        <a:xfrm xmlns:a="http://schemas.openxmlformats.org/drawingml/2006/main">
          <a:off x="1042987" y="119733"/>
          <a:ext cx="3388351" cy="50891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zh-CN" altLang="en-US" sz="18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流量来源分布</a:t>
          </a:r>
          <a:endParaRPr lang="en-US" altLang="zh-CN" sz="18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</cdr:txBody>
    </cdr:sp>
  </cdr:relSizeAnchor>
  <cdr:relSizeAnchor xmlns:cdr="http://schemas.openxmlformats.org/drawingml/2006/chartDrawing">
    <cdr:from>
      <cdr:x>0.04118</cdr:x>
      <cdr:y>0.90034</cdr:y>
    </cdr:from>
    <cdr:to>
      <cdr:x>0.75106</cdr:x>
      <cdr:y>0.97156</cdr:y>
    </cdr:to>
    <cdr:sp macro="" textlink="">
      <cdr:nvSpPr>
        <cdr:cNvPr id="2" name="文本框 12">
          <a:extLst xmlns:a="http://schemas.openxmlformats.org/drawingml/2006/main">
            <a:ext uri="{FF2B5EF4-FFF2-40B4-BE49-F238E27FC236}">
              <a16:creationId xmlns:a16="http://schemas.microsoft.com/office/drawing/2014/main" xmlns="" id="{ABC8305A-DA32-8EB5-0D5F-7C2E1C854027}"/>
            </a:ext>
          </a:extLst>
        </cdr:cNvPr>
        <cdr:cNvSpPr txBox="1"/>
      </cdr:nvSpPr>
      <cdr:spPr>
        <a:xfrm xmlns:a="http://schemas.openxmlformats.org/drawingml/2006/main">
          <a:off x="186708" y="3027234"/>
          <a:ext cx="3218525" cy="23946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800">
              <a:solidFill>
                <a:schemeClr val="bg1">
                  <a:lumMod val="8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*</a:t>
          </a:r>
          <a:r>
            <a:rPr lang="zh-CN" altLang="en-US" sz="800">
              <a:solidFill>
                <a:schemeClr val="bg1">
                  <a:lumMod val="8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注：数据来源公司网站</a:t>
          </a:r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19440</xdr:colOff>
      <xdr:row>1</xdr:row>
      <xdr:rowOff>87474</xdr:rowOff>
    </xdr:from>
    <xdr:to>
      <xdr:col>18</xdr:col>
      <xdr:colOff>19440</xdr:colOff>
      <xdr:row>20</xdr:row>
      <xdr:rowOff>87474</xdr:rowOff>
    </xdr:to>
    <xdr:graphicFrame macro="">
      <xdr:nvGraphicFramePr>
        <xdr:cNvPr id="17" name="图表 16">
          <a:extLst>
            <a:ext uri="{FF2B5EF4-FFF2-40B4-BE49-F238E27FC236}">
              <a16:creationId xmlns:a16="http://schemas.microsoft.com/office/drawing/2014/main" xmlns="" id="{00000000-0008-0000-05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0.03619</cdr:x>
      <cdr:y>0.02371</cdr:y>
    </cdr:from>
    <cdr:to>
      <cdr:x>0.97315</cdr:x>
      <cdr:y>0.18248</cdr:y>
    </cdr:to>
    <cdr:sp macro="" textlink="">
      <cdr:nvSpPr>
        <cdr:cNvPr id="2" name="文本框 11">
          <a:extLst xmlns:a="http://schemas.openxmlformats.org/drawingml/2006/main">
            <a:ext uri="{FF2B5EF4-FFF2-40B4-BE49-F238E27FC236}">
              <a16:creationId xmlns:a16="http://schemas.microsoft.com/office/drawing/2014/main" xmlns="" id="{5B739092-582A-7177-6AC0-393E08D26B18}"/>
            </a:ext>
          </a:extLst>
        </cdr:cNvPr>
        <cdr:cNvSpPr txBox="1"/>
      </cdr:nvSpPr>
      <cdr:spPr>
        <a:xfrm xmlns:a="http://schemas.openxmlformats.org/drawingml/2006/main">
          <a:off x="163726" y="78928"/>
          <a:ext cx="4239155" cy="52853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18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2022</a:t>
          </a:r>
          <a:r>
            <a:rPr lang="zh-CN" altLang="en-US" sz="18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年上半年区域销量目标达成率情况</a:t>
          </a:r>
        </a:p>
      </cdr:txBody>
    </cdr:sp>
  </cdr:relSizeAnchor>
  <cdr:relSizeAnchor xmlns:cdr="http://schemas.openxmlformats.org/drawingml/2006/chartDrawing">
    <cdr:from>
      <cdr:x>0.02958</cdr:x>
      <cdr:y>0.90856</cdr:y>
    </cdr:from>
    <cdr:to>
      <cdr:x>0.81944</cdr:x>
      <cdr:y>0.98395</cdr:y>
    </cdr:to>
    <cdr:sp macro="" textlink="">
      <cdr:nvSpPr>
        <cdr:cNvPr id="3" name="文本框 12">
          <a:extLst xmlns:a="http://schemas.openxmlformats.org/drawingml/2006/main">
            <a:ext uri="{FF2B5EF4-FFF2-40B4-BE49-F238E27FC236}">
              <a16:creationId xmlns:a16="http://schemas.microsoft.com/office/drawing/2014/main" xmlns="" id="{61FB242C-60DE-2E96-F69F-989D51E80B83}"/>
            </a:ext>
          </a:extLst>
        </cdr:cNvPr>
        <cdr:cNvSpPr txBox="1"/>
      </cdr:nvSpPr>
      <cdr:spPr>
        <a:xfrm xmlns:a="http://schemas.openxmlformats.org/drawingml/2006/main">
          <a:off x="133827" y="3024496"/>
          <a:ext cx="3573623" cy="25096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800">
              <a:solidFill>
                <a:schemeClr val="bg1">
                  <a:lumMod val="8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*</a:t>
          </a:r>
          <a:r>
            <a:rPr lang="zh-CN" altLang="en-US" sz="800">
              <a:solidFill>
                <a:schemeClr val="bg1">
                  <a:lumMod val="8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注：数据来源公司销售系统</a:t>
          </a:r>
          <a:r>
            <a:rPr lang="en-US" altLang="zh-CN" sz="800">
              <a:solidFill>
                <a:schemeClr val="bg1">
                  <a:lumMod val="8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,</a:t>
          </a:r>
          <a:r>
            <a:rPr lang="zh-CN" altLang="en-US" sz="800">
              <a:solidFill>
                <a:schemeClr val="bg1">
                  <a:lumMod val="8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日期截至</a:t>
          </a:r>
          <a:r>
            <a:rPr lang="en-US" altLang="zh-CN" sz="800">
              <a:solidFill>
                <a:schemeClr val="bg1">
                  <a:lumMod val="8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2022.06.30</a:t>
          </a:r>
          <a:endParaRPr lang="zh-CN" altLang="en-US" sz="800">
            <a:solidFill>
              <a:schemeClr val="bg1">
                <a:lumMod val="85000"/>
              </a:schemeClr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91343\OneDrive%20-%20Microsoft%20Office\&#26700;&#38754;\Excel&#21160;&#24577;&#22270;&#34920;&#31995;&#21015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26700;&#38754;&#22791;&#20221;/Excel&#21160;&#24577;&#22270;&#34920;&#31995;&#21015;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动态带平均值"/>
      <sheetName val="动态滑珠图 (2)"/>
      <sheetName val="动态滑珠图"/>
      <sheetName val="动态前N名 (2)"/>
      <sheetName val="两个维度动态图表"/>
      <sheetName val="COUNTIFS"/>
      <sheetName val="高级动态图表"/>
      <sheetName val="动态前N名"/>
      <sheetName val="自动排序"/>
      <sheetName val="选择线条"/>
      <sheetName val="动态文本"/>
      <sheetName val="Sheet1"/>
    </sheetNames>
    <sheetDataSet>
      <sheetData sheetId="0" refreshError="1"/>
      <sheetData sheetId="1" refreshError="1"/>
      <sheetData sheetId="2" refreshError="1"/>
      <sheetData sheetId="3">
        <row r="2">
          <cell r="C2" t="str">
            <v>销量</v>
          </cell>
        </row>
        <row r="5">
          <cell r="E5">
            <v>24</v>
          </cell>
        </row>
      </sheetData>
      <sheetData sheetId="4" refreshError="1"/>
      <sheetData sheetId="5" refreshError="1"/>
      <sheetData sheetId="6" refreshError="1"/>
      <sheetData sheetId="7">
        <row r="2">
          <cell r="G2" t="str">
            <v>销量</v>
          </cell>
        </row>
        <row r="10">
          <cell r="D10">
            <v>3</v>
          </cell>
        </row>
      </sheetData>
      <sheetData sheetId="8" refreshError="1"/>
      <sheetData sheetId="9">
        <row r="16">
          <cell r="C16" t="str">
            <v>口红</v>
          </cell>
        </row>
      </sheetData>
      <sheetData sheetId="10" refreshError="1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动态带平均值"/>
      <sheetName val="动态滑珠图 (2)"/>
      <sheetName val="动态前N名 (2)"/>
      <sheetName val="两个维度动态图表"/>
      <sheetName val="COUNTIFS"/>
      <sheetName val="高级动态图表"/>
      <sheetName val="动态前N名"/>
      <sheetName val="自动排序"/>
      <sheetName val="选择线条"/>
      <sheetName val="动态文本"/>
      <sheetName val="Sheet1"/>
      <sheetName val="动态滑珠图"/>
    </sheetNames>
    <sheetDataSet>
      <sheetData sheetId="0" refreshError="1"/>
      <sheetData sheetId="1" refreshError="1"/>
      <sheetData sheetId="2">
        <row r="2">
          <cell r="C2" t="str">
            <v>销量</v>
          </cell>
        </row>
        <row r="5">
          <cell r="E5">
            <v>24</v>
          </cell>
        </row>
      </sheetData>
      <sheetData sheetId="3" refreshError="1"/>
      <sheetData sheetId="4" refreshError="1"/>
      <sheetData sheetId="5" refreshError="1"/>
      <sheetData sheetId="6">
        <row r="2">
          <cell r="G2" t="str">
            <v>销量</v>
          </cell>
        </row>
        <row r="10">
          <cell r="D10">
            <v>3</v>
          </cell>
        </row>
      </sheetData>
      <sheetData sheetId="7" refreshError="1"/>
      <sheetData sheetId="8" refreshError="1"/>
      <sheetData sheetId="9" refreshError="1"/>
      <sheetData sheetId="10" refreshError="1"/>
      <sheetData sheetId="11">
        <row r="20">
          <cell r="C20" t="str">
            <v>完成率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yuan xiao" refreshedDate="44975.449002662041" createdVersion="8" refreshedVersion="8" minRefreshableVersion="3" recordCount="1470">
  <cacheSource type="worksheet">
    <worksheetSource ref="A1:G1471" sheet="5 人力资源明细"/>
  </cacheSource>
  <cacheFields count="7">
    <cacheField name="员工号" numFmtId="0">
      <sharedItems containsSemiMixedTypes="0" containsString="0" containsNumber="1" containsInteger="1" minValue="80003802" maxValue="89996570"/>
    </cacheField>
    <cacheField name="年龄" numFmtId="0">
      <sharedItems containsSemiMixedTypes="0" containsString="0" containsNumber="1" containsInteger="1" minValue="20" maxValue="60"/>
    </cacheField>
    <cacheField name="部门" numFmtId="0">
      <sharedItems count="7">
        <s v="销售"/>
        <s v="行政"/>
        <s v="人力资源"/>
        <s v="市场拓展"/>
        <s v="工程"/>
        <s v="后勤"/>
        <s v="财务"/>
      </sharedItems>
    </cacheField>
    <cacheField name="学历" numFmtId="0">
      <sharedItems count="5">
        <s v="专科"/>
        <s v="高中"/>
        <s v="硕士"/>
        <s v="本科"/>
        <s v="博士"/>
      </sharedItems>
    </cacheField>
    <cacheField name="年龄分段" numFmtId="0">
      <sharedItems/>
    </cacheField>
    <cacheField name="性别" numFmtId="0">
      <sharedItems/>
    </cacheField>
    <cacheField name="月收入" numFmtId="0">
      <sharedItems containsSemiMixedTypes="0" containsString="0" containsNumber="1" containsInteger="1" minValue="1009" maxValue="19999"/>
    </cacheField>
  </cacheFields>
  <extLst>
    <ext xmlns:x14="http://schemas.microsoft.com/office/spreadsheetml/2009/9/main" uri="{725AE2AE-9491-48be-B2B4-4EB974FC3084}">
      <x14:pivotCacheDefinition pivotCacheId="150630692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70">
  <r>
    <n v="84343226"/>
    <n v="41"/>
    <x v="0"/>
    <x v="0"/>
    <s v="40-49"/>
    <s v="女"/>
    <n v="5993"/>
  </r>
  <r>
    <n v="80025823"/>
    <n v="49"/>
    <x v="1"/>
    <x v="1"/>
    <s v="40-49"/>
    <s v="男"/>
    <n v="5130"/>
  </r>
  <r>
    <n v="83441497"/>
    <n v="37"/>
    <x v="2"/>
    <x v="0"/>
    <s v="30-39"/>
    <s v="男"/>
    <n v="2090"/>
  </r>
  <r>
    <n v="87541418"/>
    <n v="33"/>
    <x v="3"/>
    <x v="2"/>
    <s v="30-39"/>
    <s v="女"/>
    <n v="2909"/>
  </r>
  <r>
    <n v="85461701"/>
    <n v="27"/>
    <x v="4"/>
    <x v="1"/>
    <s v="20-29"/>
    <s v="男"/>
    <n v="3468"/>
  </r>
  <r>
    <n v="84471036"/>
    <n v="32"/>
    <x v="2"/>
    <x v="0"/>
    <s v="30-39"/>
    <s v="男"/>
    <n v="3068"/>
  </r>
  <r>
    <n v="84868246"/>
    <n v="59"/>
    <x v="3"/>
    <x v="3"/>
    <s v="&gt;=50"/>
    <s v="女"/>
    <n v="2670"/>
  </r>
  <r>
    <n v="84053632"/>
    <n v="30"/>
    <x v="5"/>
    <x v="1"/>
    <s v="30-39"/>
    <s v="男"/>
    <n v="2693"/>
  </r>
  <r>
    <n v="89052571"/>
    <n v="38"/>
    <x v="3"/>
    <x v="3"/>
    <s v="30-39"/>
    <s v="男"/>
    <n v="9526"/>
  </r>
  <r>
    <n v="84296989"/>
    <n v="36"/>
    <x v="1"/>
    <x v="3"/>
    <s v="30-39"/>
    <s v="男"/>
    <n v="5237"/>
  </r>
  <r>
    <n v="84832042"/>
    <n v="35"/>
    <x v="3"/>
    <x v="3"/>
    <s v="30-39"/>
    <s v="男"/>
    <n v="2426"/>
  </r>
  <r>
    <n v="81866141"/>
    <n v="29"/>
    <x v="3"/>
    <x v="0"/>
    <s v="20-29"/>
    <s v="女"/>
    <n v="4193"/>
  </r>
  <r>
    <n v="87542300"/>
    <n v="31"/>
    <x v="3"/>
    <x v="1"/>
    <s v="30-39"/>
    <s v="男"/>
    <n v="2911"/>
  </r>
  <r>
    <n v="88799456"/>
    <n v="34"/>
    <x v="3"/>
    <x v="0"/>
    <s v="30-39"/>
    <s v="男"/>
    <n v="2661"/>
  </r>
  <r>
    <n v="84490915"/>
    <n v="28"/>
    <x v="1"/>
    <x v="3"/>
    <s v="20-29"/>
    <s v="男"/>
    <n v="2028"/>
  </r>
  <r>
    <n v="82727521"/>
    <n v="29"/>
    <x v="3"/>
    <x v="2"/>
    <s v="20-29"/>
    <s v="女"/>
    <n v="9980"/>
  </r>
  <r>
    <n v="81066659"/>
    <n v="32"/>
    <x v="3"/>
    <x v="0"/>
    <s v="30-39"/>
    <s v="男"/>
    <n v="3298"/>
  </r>
  <r>
    <n v="87235618"/>
    <n v="22"/>
    <x v="6"/>
    <x v="0"/>
    <s v="20-29"/>
    <s v="男"/>
    <n v="2935"/>
  </r>
  <r>
    <n v="87082420"/>
    <n v="53"/>
    <x v="0"/>
    <x v="2"/>
    <s v="&gt;=50"/>
    <s v="女"/>
    <n v="15427"/>
  </r>
  <r>
    <n v="88958397"/>
    <n v="38"/>
    <x v="3"/>
    <x v="3"/>
    <s v="30-39"/>
    <s v="男"/>
    <n v="3944"/>
  </r>
  <r>
    <n v="84124668"/>
    <n v="24"/>
    <x v="1"/>
    <x v="0"/>
    <s v="20-29"/>
    <s v="女"/>
    <n v="4011"/>
  </r>
  <r>
    <n v="80667057"/>
    <n v="36"/>
    <x v="0"/>
    <x v="2"/>
    <s v="30-39"/>
    <s v="男"/>
    <n v="3407"/>
  </r>
  <r>
    <n v="85179519"/>
    <n v="34"/>
    <x v="3"/>
    <x v="2"/>
    <s v="30-39"/>
    <s v="女"/>
    <n v="11994"/>
  </r>
  <r>
    <n v="80131180"/>
    <n v="21"/>
    <x v="3"/>
    <x v="0"/>
    <s v="20-29"/>
    <s v="男"/>
    <n v="1232"/>
  </r>
  <r>
    <n v="81828136"/>
    <n v="34"/>
    <x v="3"/>
    <x v="1"/>
    <s v="30-39"/>
    <s v="男"/>
    <n v="2960"/>
  </r>
  <r>
    <n v="89723974"/>
    <n v="53"/>
    <x v="1"/>
    <x v="3"/>
    <s v="&gt;=50"/>
    <s v="女"/>
    <n v="19094"/>
  </r>
  <r>
    <n v="84040768"/>
    <n v="32"/>
    <x v="3"/>
    <x v="1"/>
    <s v="30-39"/>
    <s v="女"/>
    <n v="3919"/>
  </r>
  <r>
    <n v="83596628"/>
    <n v="42"/>
    <x v="0"/>
    <x v="2"/>
    <s v="40-49"/>
    <s v="男"/>
    <n v="6825"/>
  </r>
  <r>
    <n v="83530757"/>
    <n v="44"/>
    <x v="3"/>
    <x v="2"/>
    <s v="40-49"/>
    <s v="女"/>
    <n v="10248"/>
  </r>
  <r>
    <n v="84923682"/>
    <n v="46"/>
    <x v="0"/>
    <x v="2"/>
    <s v="40-49"/>
    <s v="女"/>
    <n v="18947"/>
  </r>
  <r>
    <n v="84519747"/>
    <n v="33"/>
    <x v="3"/>
    <x v="3"/>
    <s v="30-39"/>
    <s v="男"/>
    <n v="2496"/>
  </r>
  <r>
    <n v="82534034"/>
    <n v="44"/>
    <x v="3"/>
    <x v="2"/>
    <s v="40-49"/>
    <s v="男"/>
    <n v="6465"/>
  </r>
  <r>
    <n v="80607774"/>
    <n v="30"/>
    <x v="1"/>
    <x v="0"/>
    <s v="30-39"/>
    <s v="男"/>
    <n v="2206"/>
  </r>
  <r>
    <n v="84726831"/>
    <n v="39"/>
    <x v="0"/>
    <x v="3"/>
    <s v="30-39"/>
    <s v="男"/>
    <n v="2086"/>
  </r>
  <r>
    <n v="80766533"/>
    <n v="24"/>
    <x v="3"/>
    <x v="3"/>
    <s v="20-29"/>
    <s v="男"/>
    <n v="2293"/>
  </r>
  <r>
    <n v="81025807"/>
    <n v="43"/>
    <x v="3"/>
    <x v="0"/>
    <s v="40-49"/>
    <s v="女"/>
    <n v="2645"/>
  </r>
  <r>
    <n v="85052382"/>
    <n v="50"/>
    <x v="0"/>
    <x v="0"/>
    <s v="&gt;=50"/>
    <s v="男"/>
    <n v="2683"/>
  </r>
  <r>
    <n v="86764639"/>
    <n v="35"/>
    <x v="0"/>
    <x v="3"/>
    <s v="30-39"/>
    <s v="女"/>
    <n v="2014"/>
  </r>
  <r>
    <n v="88233548"/>
    <n v="36"/>
    <x v="3"/>
    <x v="2"/>
    <s v="30-39"/>
    <s v="女"/>
    <n v="3419"/>
  </r>
  <r>
    <n v="87736479"/>
    <n v="33"/>
    <x v="0"/>
    <x v="3"/>
    <s v="30-39"/>
    <s v="女"/>
    <n v="5376"/>
  </r>
  <r>
    <n v="88830045"/>
    <n v="35"/>
    <x v="3"/>
    <x v="0"/>
    <s v="30-39"/>
    <s v="男"/>
    <n v="1951"/>
  </r>
  <r>
    <n v="83114268"/>
    <n v="27"/>
    <x v="1"/>
    <x v="2"/>
    <s v="20-29"/>
    <s v="女"/>
    <n v="2341"/>
  </r>
  <r>
    <n v="88078127"/>
    <n v="26"/>
    <x v="3"/>
    <x v="3"/>
    <s v="20-29"/>
    <s v="男"/>
    <n v="2293"/>
  </r>
  <r>
    <n v="82065242"/>
    <n v="27"/>
    <x v="0"/>
    <x v="3"/>
    <s v="20-29"/>
    <s v="男"/>
    <n v="8726"/>
  </r>
  <r>
    <n v="88374215"/>
    <n v="30"/>
    <x v="3"/>
    <x v="0"/>
    <s v="30-39"/>
    <s v="女"/>
    <n v="4011"/>
  </r>
  <r>
    <n v="83777248"/>
    <n v="41"/>
    <x v="3"/>
    <x v="3"/>
    <s v="40-49"/>
    <s v="女"/>
    <n v="19545"/>
  </r>
  <r>
    <n v="84932792"/>
    <n v="34"/>
    <x v="0"/>
    <x v="2"/>
    <s v="30-39"/>
    <s v="男"/>
    <n v="4568"/>
  </r>
  <r>
    <n v="87390403"/>
    <n v="37"/>
    <x v="3"/>
    <x v="0"/>
    <s v="30-39"/>
    <s v="男"/>
    <n v="3022"/>
  </r>
  <r>
    <n v="89549570"/>
    <n v="46"/>
    <x v="0"/>
    <x v="2"/>
    <s v="40-49"/>
    <s v="男"/>
    <n v="5772"/>
  </r>
  <r>
    <n v="85357065"/>
    <n v="35"/>
    <x v="1"/>
    <x v="1"/>
    <s v="30-39"/>
    <s v="男"/>
    <n v="2269"/>
  </r>
  <r>
    <n v="80962576"/>
    <n v="48"/>
    <x v="3"/>
    <x v="0"/>
    <s v="40-49"/>
    <s v="男"/>
    <n v="5381"/>
  </r>
  <r>
    <n v="83620657"/>
    <n v="28"/>
    <x v="3"/>
    <x v="2"/>
    <s v="20-29"/>
    <s v="男"/>
    <n v="3441"/>
  </r>
  <r>
    <n v="80416147"/>
    <n v="44"/>
    <x v="0"/>
    <x v="4"/>
    <s v="40-49"/>
    <s v="女"/>
    <n v="5454"/>
  </r>
  <r>
    <n v="83033244"/>
    <n v="35"/>
    <x v="1"/>
    <x v="0"/>
    <s v="30-39"/>
    <s v="男"/>
    <n v="9884"/>
  </r>
  <r>
    <n v="85217552"/>
    <n v="26"/>
    <x v="0"/>
    <x v="3"/>
    <s v="20-29"/>
    <s v="女"/>
    <n v="4157"/>
  </r>
  <r>
    <n v="88380665"/>
    <n v="33"/>
    <x v="3"/>
    <x v="0"/>
    <s v="30-39"/>
    <s v="女"/>
    <n v="13458"/>
  </r>
  <r>
    <n v="82323228"/>
    <n v="35"/>
    <x v="0"/>
    <x v="4"/>
    <s v="30-39"/>
    <s v="男"/>
    <n v="9069"/>
  </r>
  <r>
    <n v="88595790"/>
    <n v="35"/>
    <x v="3"/>
    <x v="2"/>
    <s v="30-39"/>
    <s v="女"/>
    <n v="4014"/>
  </r>
  <r>
    <n v="80212091"/>
    <n v="31"/>
    <x v="3"/>
    <x v="2"/>
    <s v="30-39"/>
    <s v="男"/>
    <n v="5915"/>
  </r>
  <r>
    <n v="84261453"/>
    <n v="37"/>
    <x v="3"/>
    <x v="2"/>
    <s v="30-39"/>
    <s v="男"/>
    <n v="5993"/>
  </r>
  <r>
    <n v="85078938"/>
    <n v="32"/>
    <x v="1"/>
    <x v="3"/>
    <s v="30-39"/>
    <s v="男"/>
    <n v="6162"/>
  </r>
  <r>
    <n v="80105824"/>
    <n v="38"/>
    <x v="3"/>
    <x v="4"/>
    <s v="30-39"/>
    <s v="女"/>
    <n v="2406"/>
  </r>
  <r>
    <n v="83819847"/>
    <n v="50"/>
    <x v="3"/>
    <x v="0"/>
    <s v="&gt;=50"/>
    <s v="女"/>
    <n v="18740"/>
  </r>
  <r>
    <n v="86866387"/>
    <n v="59"/>
    <x v="0"/>
    <x v="3"/>
    <s v="&gt;=50"/>
    <s v="女"/>
    <n v="7637"/>
  </r>
  <r>
    <n v="87175627"/>
    <n v="36"/>
    <x v="6"/>
    <x v="3"/>
    <s v="30-39"/>
    <s v="女"/>
    <n v="10096"/>
  </r>
  <r>
    <n v="80875746"/>
    <n v="55"/>
    <x v="3"/>
    <x v="3"/>
    <s v="&gt;=50"/>
    <s v="女"/>
    <n v="14756"/>
  </r>
  <r>
    <n v="86312256"/>
    <n v="36"/>
    <x v="3"/>
    <x v="3"/>
    <s v="30-39"/>
    <s v="男"/>
    <n v="6499"/>
  </r>
  <r>
    <n v="81507334"/>
    <n v="45"/>
    <x v="3"/>
    <x v="3"/>
    <s v="40-49"/>
    <s v="男"/>
    <n v="9724"/>
  </r>
  <r>
    <n v="85379617"/>
    <n v="35"/>
    <x v="1"/>
    <x v="3"/>
    <s v="30-39"/>
    <s v="男"/>
    <n v="2194"/>
  </r>
  <r>
    <n v="87449587"/>
    <n v="36"/>
    <x v="3"/>
    <x v="3"/>
    <s v="30-39"/>
    <s v="男"/>
    <n v="3388"/>
  </r>
  <r>
    <n v="82712898"/>
    <n v="59"/>
    <x v="0"/>
    <x v="1"/>
    <s v="&gt;=50"/>
    <s v="女"/>
    <n v="5473"/>
  </r>
  <r>
    <n v="81466321"/>
    <n v="29"/>
    <x v="3"/>
    <x v="3"/>
    <s v="20-29"/>
    <s v="男"/>
    <n v="2703"/>
  </r>
  <r>
    <n v="81261417"/>
    <n v="31"/>
    <x v="1"/>
    <x v="2"/>
    <s v="30-39"/>
    <s v="男"/>
    <n v="2501"/>
  </r>
  <r>
    <n v="81334244"/>
    <n v="32"/>
    <x v="3"/>
    <x v="3"/>
    <s v="30-39"/>
    <s v="男"/>
    <n v="6220"/>
  </r>
  <r>
    <n v="82810994"/>
    <n v="36"/>
    <x v="3"/>
    <x v="3"/>
    <s v="30-39"/>
    <s v="女"/>
    <n v="3038"/>
  </r>
  <r>
    <n v="86029279"/>
    <n v="31"/>
    <x v="3"/>
    <x v="2"/>
    <s v="30-39"/>
    <s v="女"/>
    <n v="4424"/>
  </r>
  <r>
    <n v="88208712"/>
    <n v="35"/>
    <x v="0"/>
    <x v="2"/>
    <s v="30-39"/>
    <s v="男"/>
    <n v="4312"/>
  </r>
  <r>
    <n v="87536908"/>
    <n v="45"/>
    <x v="3"/>
    <x v="2"/>
    <s v="40-49"/>
    <s v="男"/>
    <n v="13245"/>
  </r>
  <r>
    <n v="87838067"/>
    <n v="37"/>
    <x v="3"/>
    <x v="2"/>
    <s v="30-39"/>
    <s v="男"/>
    <n v="13664"/>
  </r>
  <r>
    <n v="86956105"/>
    <n v="46"/>
    <x v="2"/>
    <x v="0"/>
    <s v="40-49"/>
    <s v="男"/>
    <n v="5021"/>
  </r>
  <r>
    <n v="83239615"/>
    <n v="30"/>
    <x v="3"/>
    <x v="1"/>
    <s v="30-39"/>
    <s v="男"/>
    <n v="5126"/>
  </r>
  <r>
    <n v="87064944"/>
    <n v="35"/>
    <x v="3"/>
    <x v="3"/>
    <s v="30-39"/>
    <s v="男"/>
    <n v="2859"/>
  </r>
  <r>
    <n v="89583829"/>
    <n v="55"/>
    <x v="0"/>
    <x v="0"/>
    <s v="&gt;=50"/>
    <s v="男"/>
    <n v="10239"/>
  </r>
  <r>
    <n v="87431495"/>
    <n v="38"/>
    <x v="3"/>
    <x v="3"/>
    <s v="30-39"/>
    <s v="女"/>
    <n v="5329"/>
  </r>
  <r>
    <n v="85581910"/>
    <n v="34"/>
    <x v="1"/>
    <x v="0"/>
    <s v="30-39"/>
    <s v="男"/>
    <n v="4325"/>
  </r>
  <r>
    <n v="80827834"/>
    <n v="56"/>
    <x v="3"/>
    <x v="3"/>
    <s v="&gt;=50"/>
    <s v="男"/>
    <n v="7260"/>
  </r>
  <r>
    <n v="83336221"/>
    <n v="23"/>
    <x v="0"/>
    <x v="1"/>
    <s v="20-29"/>
    <s v="男"/>
    <n v="2322"/>
  </r>
  <r>
    <n v="86728137"/>
    <n v="51"/>
    <x v="3"/>
    <x v="2"/>
    <s v="&gt;=50"/>
    <s v="男"/>
    <n v="2075"/>
  </r>
  <r>
    <n v="87997088"/>
    <n v="30"/>
    <x v="3"/>
    <x v="3"/>
    <s v="30-39"/>
    <s v="男"/>
    <n v="4152"/>
  </r>
  <r>
    <n v="86365591"/>
    <n v="46"/>
    <x v="0"/>
    <x v="0"/>
    <s v="40-49"/>
    <s v="男"/>
    <n v="9619"/>
  </r>
  <r>
    <n v="82082349"/>
    <n v="40"/>
    <x v="3"/>
    <x v="2"/>
    <s v="40-49"/>
    <s v="男"/>
    <n v="13503"/>
  </r>
  <r>
    <n v="87920240"/>
    <n v="51"/>
    <x v="0"/>
    <x v="2"/>
    <s v="&gt;=50"/>
    <s v="男"/>
    <n v="5441"/>
  </r>
  <r>
    <n v="87070589"/>
    <n v="30"/>
    <x v="0"/>
    <x v="0"/>
    <s v="30-39"/>
    <s v="女"/>
    <n v="5209"/>
  </r>
  <r>
    <n v="80542836"/>
    <n v="46"/>
    <x v="3"/>
    <x v="3"/>
    <s v="40-49"/>
    <s v="男"/>
    <n v="10673"/>
  </r>
  <r>
    <n v="80930301"/>
    <n v="32"/>
    <x v="0"/>
    <x v="2"/>
    <s v="30-39"/>
    <s v="男"/>
    <n v="5010"/>
  </r>
  <r>
    <n v="83833607"/>
    <n v="54"/>
    <x v="3"/>
    <x v="2"/>
    <s v="&gt;=50"/>
    <s v="女"/>
    <n v="13549"/>
  </r>
  <r>
    <n v="87085993"/>
    <n v="24"/>
    <x v="0"/>
    <x v="0"/>
    <s v="20-29"/>
    <s v="女"/>
    <n v="4999"/>
  </r>
  <r>
    <n v="85970887"/>
    <n v="28"/>
    <x v="0"/>
    <x v="3"/>
    <s v="20-29"/>
    <s v="男"/>
    <n v="4221"/>
  </r>
  <r>
    <n v="80205107"/>
    <n v="58"/>
    <x v="0"/>
    <x v="2"/>
    <s v="&gt;=50"/>
    <s v="男"/>
    <n v="13872"/>
  </r>
  <r>
    <n v="89004169"/>
    <n v="44"/>
    <x v="3"/>
    <x v="3"/>
    <s v="40-49"/>
    <s v="男"/>
    <n v="2042"/>
  </r>
  <r>
    <n v="80090512"/>
    <n v="37"/>
    <x v="2"/>
    <x v="2"/>
    <s v="30-39"/>
    <s v="男"/>
    <n v="2073"/>
  </r>
  <r>
    <n v="80575217"/>
    <n v="32"/>
    <x v="3"/>
    <x v="1"/>
    <s v="30-39"/>
    <s v="男"/>
    <n v="2956"/>
  </r>
  <r>
    <n v="81053982"/>
    <n v="20"/>
    <x v="3"/>
    <x v="3"/>
    <s v="20-29"/>
    <s v="女"/>
    <n v="2926"/>
  </r>
  <r>
    <n v="85019841"/>
    <n v="34"/>
    <x v="3"/>
    <x v="2"/>
    <s v="30-39"/>
    <s v="女"/>
    <n v="4809"/>
  </r>
  <r>
    <n v="81093559"/>
    <n v="37"/>
    <x v="3"/>
    <x v="0"/>
    <s v="30-39"/>
    <s v="男"/>
    <n v="5163"/>
  </r>
  <r>
    <n v="81753529"/>
    <n v="59"/>
    <x v="2"/>
    <x v="2"/>
    <s v="&gt;=50"/>
    <s v="女"/>
    <n v="18844"/>
  </r>
  <r>
    <n v="81849085"/>
    <n v="50"/>
    <x v="6"/>
    <x v="3"/>
    <s v="&gt;=50"/>
    <s v="女"/>
    <n v="18172"/>
  </r>
  <r>
    <n v="82912415"/>
    <n v="25"/>
    <x v="0"/>
    <x v="3"/>
    <s v="20-29"/>
    <s v="男"/>
    <n v="5744"/>
  </r>
  <r>
    <n v="81132518"/>
    <n v="25"/>
    <x v="3"/>
    <x v="1"/>
    <s v="20-29"/>
    <s v="男"/>
    <n v="2889"/>
  </r>
  <r>
    <n v="86702409"/>
    <n v="22"/>
    <x v="3"/>
    <x v="3"/>
    <s v="20-29"/>
    <s v="女"/>
    <n v="2871"/>
  </r>
  <r>
    <n v="83057565"/>
    <n v="51"/>
    <x v="3"/>
    <x v="2"/>
    <s v="&gt;=50"/>
    <s v="女"/>
    <n v="7484"/>
  </r>
  <r>
    <n v="85503986"/>
    <n v="34"/>
    <x v="3"/>
    <x v="3"/>
    <s v="30-39"/>
    <s v="男"/>
    <n v="6074"/>
  </r>
  <r>
    <n v="88117888"/>
    <n v="54"/>
    <x v="2"/>
    <x v="3"/>
    <s v="&gt;=50"/>
    <s v="女"/>
    <n v="17328"/>
  </r>
  <r>
    <n v="87645947"/>
    <n v="24"/>
    <x v="6"/>
    <x v="1"/>
    <s v="20-29"/>
    <s v="男"/>
    <n v="2774"/>
  </r>
  <r>
    <n v="82188036"/>
    <n v="34"/>
    <x v="6"/>
    <x v="2"/>
    <s v="30-39"/>
    <s v="女"/>
    <n v="4505"/>
  </r>
  <r>
    <n v="85066541"/>
    <n v="37"/>
    <x v="0"/>
    <x v="3"/>
    <s v="30-39"/>
    <s v="男"/>
    <n v="7428"/>
  </r>
  <r>
    <n v="87040072"/>
    <n v="34"/>
    <x v="6"/>
    <x v="3"/>
    <s v="30-39"/>
    <s v="女"/>
    <n v="11631"/>
  </r>
  <r>
    <n v="84039059"/>
    <n v="36"/>
    <x v="0"/>
    <x v="0"/>
    <s v="30-39"/>
    <s v="女"/>
    <n v="9738"/>
  </r>
  <r>
    <n v="83679652"/>
    <n v="36"/>
    <x v="6"/>
    <x v="0"/>
    <s v="30-39"/>
    <s v="女"/>
    <n v="2835"/>
  </r>
  <r>
    <n v="83227030"/>
    <n v="43"/>
    <x v="0"/>
    <x v="0"/>
    <s v="40-49"/>
    <s v="男"/>
    <n v="16959"/>
  </r>
  <r>
    <n v="82482993"/>
    <n v="30"/>
    <x v="6"/>
    <x v="3"/>
    <s v="30-39"/>
    <s v="男"/>
    <n v="2613"/>
  </r>
  <r>
    <n v="80960242"/>
    <n v="33"/>
    <x v="0"/>
    <x v="0"/>
    <s v="30-39"/>
    <s v="男"/>
    <n v="6146"/>
  </r>
  <r>
    <n v="81242831"/>
    <n v="56"/>
    <x v="6"/>
    <x v="2"/>
    <s v="&gt;=50"/>
    <s v="女"/>
    <n v="4963"/>
  </r>
  <r>
    <n v="83406193"/>
    <n v="51"/>
    <x v="6"/>
    <x v="3"/>
    <s v="&gt;=50"/>
    <s v="男"/>
    <n v="19537"/>
  </r>
  <r>
    <n v="81999331"/>
    <n v="31"/>
    <x v="0"/>
    <x v="2"/>
    <s v="30-39"/>
    <s v="男"/>
    <n v="6172"/>
  </r>
  <r>
    <n v="82070763"/>
    <n v="26"/>
    <x v="6"/>
    <x v="3"/>
    <s v="20-29"/>
    <s v="女"/>
    <n v="2368"/>
  </r>
  <r>
    <n v="80489240"/>
    <n v="58"/>
    <x v="6"/>
    <x v="2"/>
    <s v="&gt;=50"/>
    <s v="女"/>
    <n v="10312"/>
  </r>
  <r>
    <n v="84230826"/>
    <n v="21"/>
    <x v="0"/>
    <x v="1"/>
    <s v="20-29"/>
    <s v="男"/>
    <n v="1675"/>
  </r>
  <r>
    <n v="86571439"/>
    <n v="22"/>
    <x v="6"/>
    <x v="1"/>
    <s v="20-29"/>
    <s v="男"/>
    <n v="2523"/>
  </r>
  <r>
    <n v="83302400"/>
    <n v="49"/>
    <x v="6"/>
    <x v="2"/>
    <s v="40-49"/>
    <s v="女"/>
    <n v="6567"/>
  </r>
  <r>
    <n v="88484518"/>
    <n v="43"/>
    <x v="6"/>
    <x v="3"/>
    <s v="40-49"/>
    <s v="女"/>
    <n v="4739"/>
  </r>
  <r>
    <n v="86518235"/>
    <n v="50"/>
    <x v="0"/>
    <x v="3"/>
    <s v="&gt;=50"/>
    <s v="女"/>
    <n v="9208"/>
  </r>
  <r>
    <n v="85389928"/>
    <n v="31"/>
    <x v="0"/>
    <x v="3"/>
    <s v="30-39"/>
    <s v="女"/>
    <n v="4559"/>
  </r>
  <r>
    <n v="88603123"/>
    <n v="41"/>
    <x v="0"/>
    <x v="1"/>
    <s v="40-49"/>
    <s v="男"/>
    <n v="8189"/>
  </r>
  <r>
    <n v="82649309"/>
    <n v="26"/>
    <x v="2"/>
    <x v="1"/>
    <s v="20-29"/>
    <s v="女"/>
    <n v="2942"/>
  </r>
  <r>
    <n v="87615720"/>
    <n v="36"/>
    <x v="6"/>
    <x v="0"/>
    <s v="30-39"/>
    <s v="男"/>
    <n v="4941"/>
  </r>
  <r>
    <n v="86470199"/>
    <n v="51"/>
    <x v="6"/>
    <x v="2"/>
    <s v="&gt;=50"/>
    <s v="男"/>
    <n v="10650"/>
  </r>
  <r>
    <n v="85230358"/>
    <n v="39"/>
    <x v="0"/>
    <x v="2"/>
    <s v="30-39"/>
    <s v="女"/>
    <n v="5902"/>
  </r>
  <r>
    <n v="86332301"/>
    <n v="25"/>
    <x v="0"/>
    <x v="3"/>
    <s v="20-29"/>
    <s v="男"/>
    <n v="8639"/>
  </r>
  <r>
    <n v="85045542"/>
    <n v="30"/>
    <x v="2"/>
    <x v="3"/>
    <s v="30-39"/>
    <s v="男"/>
    <n v="6347"/>
  </r>
  <r>
    <n v="87979082"/>
    <n v="32"/>
    <x v="6"/>
    <x v="3"/>
    <s v="30-39"/>
    <s v="女"/>
    <n v="4200"/>
  </r>
  <r>
    <n v="85619573"/>
    <n v="45"/>
    <x v="6"/>
    <x v="3"/>
    <s v="40-49"/>
    <s v="男"/>
    <n v="3452"/>
  </r>
  <r>
    <n v="89933759"/>
    <n v="38"/>
    <x v="6"/>
    <x v="4"/>
    <s v="30-39"/>
    <s v="女"/>
    <n v="4317"/>
  </r>
  <r>
    <n v="85860474"/>
    <n v="30"/>
    <x v="6"/>
    <x v="3"/>
    <s v="30-39"/>
    <s v="女"/>
    <n v="2632"/>
  </r>
  <r>
    <n v="80691379"/>
    <n v="32"/>
    <x v="0"/>
    <x v="0"/>
    <s v="30-39"/>
    <s v="男"/>
    <n v="4668"/>
  </r>
  <r>
    <n v="83831641"/>
    <n v="30"/>
    <x v="6"/>
    <x v="3"/>
    <s v="30-39"/>
    <s v="女"/>
    <n v="3204"/>
  </r>
  <r>
    <n v="84092371"/>
    <n v="30"/>
    <x v="6"/>
    <x v="1"/>
    <s v="30-39"/>
    <s v="男"/>
    <n v="2720"/>
  </r>
  <r>
    <n v="87585717"/>
    <n v="41"/>
    <x v="6"/>
    <x v="3"/>
    <s v="40-49"/>
    <s v="男"/>
    <n v="17181"/>
  </r>
  <r>
    <n v="83740708"/>
    <n v="41"/>
    <x v="6"/>
    <x v="2"/>
    <s v="40-49"/>
    <s v="男"/>
    <n v="2238"/>
  </r>
  <r>
    <n v="85083244"/>
    <n v="22"/>
    <x v="6"/>
    <x v="1"/>
    <s v="20-29"/>
    <s v="女"/>
    <n v="1483"/>
  </r>
  <r>
    <n v="85563092"/>
    <n v="40"/>
    <x v="6"/>
    <x v="3"/>
    <s v="40-49"/>
    <s v="女"/>
    <n v="5605"/>
  </r>
  <r>
    <n v="85167271"/>
    <n v="35"/>
    <x v="0"/>
    <x v="4"/>
    <s v="30-39"/>
    <s v="男"/>
    <n v="7295"/>
  </r>
  <r>
    <n v="86200377"/>
    <n v="53"/>
    <x v="0"/>
    <x v="0"/>
    <s v="&gt;=50"/>
    <s v="男"/>
    <n v="2306"/>
  </r>
  <r>
    <n v="83913663"/>
    <n v="45"/>
    <x v="6"/>
    <x v="3"/>
    <s v="40-49"/>
    <s v="男"/>
    <n v="2348"/>
  </r>
  <r>
    <n v="89790123"/>
    <n v="32"/>
    <x v="0"/>
    <x v="3"/>
    <s v="30-39"/>
    <s v="女"/>
    <n v="8998"/>
  </r>
  <r>
    <n v="81895520"/>
    <n v="29"/>
    <x v="6"/>
    <x v="1"/>
    <s v="20-29"/>
    <s v="男"/>
    <n v="4319"/>
  </r>
  <r>
    <n v="83586841"/>
    <n v="51"/>
    <x v="6"/>
    <x v="2"/>
    <s v="&gt;=50"/>
    <s v="男"/>
    <n v="6132"/>
  </r>
  <r>
    <n v="85216968"/>
    <n v="58"/>
    <x v="6"/>
    <x v="3"/>
    <s v="&gt;=50"/>
    <s v="女"/>
    <n v="3346"/>
  </r>
  <r>
    <n v="87750561"/>
    <n v="40"/>
    <x v="0"/>
    <x v="2"/>
    <s v="40-49"/>
    <s v="男"/>
    <n v="10855"/>
  </r>
  <r>
    <n v="82850625"/>
    <n v="34"/>
    <x v="0"/>
    <x v="2"/>
    <s v="30-39"/>
    <s v="女"/>
    <n v="2231"/>
  </r>
  <r>
    <n v="85663016"/>
    <n v="22"/>
    <x v="6"/>
    <x v="1"/>
    <s v="20-29"/>
    <s v="男"/>
    <n v="2323"/>
  </r>
  <r>
    <n v="83244308"/>
    <n v="27"/>
    <x v="3"/>
    <x v="3"/>
    <s v="20-29"/>
    <s v="男"/>
    <n v="2024"/>
  </r>
  <r>
    <n v="81562236"/>
    <n v="28"/>
    <x v="6"/>
    <x v="3"/>
    <s v="20-29"/>
    <s v="男"/>
    <n v="2713"/>
  </r>
  <r>
    <n v="85865739"/>
    <n v="57"/>
    <x v="3"/>
    <x v="0"/>
    <s v="&gt;=50"/>
    <s v="男"/>
    <n v="9439"/>
  </r>
  <r>
    <n v="86813872"/>
    <n v="27"/>
    <x v="6"/>
    <x v="3"/>
    <s v="20-29"/>
    <s v="男"/>
    <n v="2566"/>
  </r>
  <r>
    <n v="84796478"/>
    <n v="50"/>
    <x v="3"/>
    <x v="3"/>
    <s v="&gt;=50"/>
    <s v="女"/>
    <n v="19926"/>
  </r>
  <r>
    <n v="86733360"/>
    <n v="41"/>
    <x v="3"/>
    <x v="3"/>
    <s v="40-49"/>
    <s v="男"/>
    <n v="2451"/>
  </r>
  <r>
    <n v="85983389"/>
    <n v="30"/>
    <x v="0"/>
    <x v="3"/>
    <s v="30-39"/>
    <s v="女"/>
    <n v="9419"/>
  </r>
  <r>
    <n v="83587577"/>
    <n v="38"/>
    <x v="0"/>
    <x v="2"/>
    <s v="30-39"/>
    <s v="女"/>
    <n v="8686"/>
  </r>
  <r>
    <n v="82131303"/>
    <n v="32"/>
    <x v="3"/>
    <x v="4"/>
    <s v="30-39"/>
    <s v="男"/>
    <n v="3038"/>
  </r>
  <r>
    <n v="85740092"/>
    <n v="27"/>
    <x v="3"/>
    <x v="3"/>
    <s v="20-29"/>
    <s v="男"/>
    <n v="3058"/>
  </r>
  <r>
    <n v="89862644"/>
    <n v="21"/>
    <x v="0"/>
    <x v="1"/>
    <s v="20-29"/>
    <s v="女"/>
    <n v="2325"/>
  </r>
  <r>
    <n v="85158354"/>
    <n v="22"/>
    <x v="3"/>
    <x v="0"/>
    <s v="30-39"/>
    <s v="男"/>
    <n v="2088"/>
  </r>
  <r>
    <n v="89731800"/>
    <n v="30"/>
    <x v="3"/>
    <x v="3"/>
    <s v="30-39"/>
    <s v="男"/>
    <n v="3072"/>
  </r>
  <r>
    <n v="85680495"/>
    <n v="45"/>
    <x v="0"/>
    <x v="0"/>
    <s v="40-49"/>
    <s v="女"/>
    <n v="5006"/>
  </r>
  <r>
    <n v="82430154"/>
    <n v="56"/>
    <x v="3"/>
    <x v="3"/>
    <s v="&gt;=50"/>
    <s v="女"/>
    <n v="4257"/>
  </r>
  <r>
    <n v="89613334"/>
    <n v="33"/>
    <x v="3"/>
    <x v="3"/>
    <s v="30-39"/>
    <s v="男"/>
    <n v="2500"/>
  </r>
  <r>
    <n v="85974403"/>
    <n v="23"/>
    <x v="3"/>
    <x v="3"/>
    <s v="20-29"/>
    <s v="男"/>
    <n v="1102"/>
  </r>
  <r>
    <n v="87934164"/>
    <n v="46"/>
    <x v="0"/>
    <x v="0"/>
    <s v="40-49"/>
    <s v="女"/>
    <n v="10453"/>
  </r>
  <r>
    <n v="84196109"/>
    <n v="38"/>
    <x v="3"/>
    <x v="0"/>
    <s v="30-39"/>
    <s v="女"/>
    <n v="2288"/>
  </r>
  <r>
    <n v="86528527"/>
    <n v="31"/>
    <x v="3"/>
    <x v="1"/>
    <s v="30-39"/>
    <s v="女"/>
    <n v="3929"/>
  </r>
  <r>
    <n v="87265633"/>
    <n v="34"/>
    <x v="3"/>
    <x v="0"/>
    <s v="30-39"/>
    <s v="女"/>
    <n v="2311"/>
  </r>
  <r>
    <n v="87341974"/>
    <n v="41"/>
    <x v="0"/>
    <x v="0"/>
    <s v="40-49"/>
    <s v="女"/>
    <n v="3140"/>
  </r>
  <r>
    <n v="80755861"/>
    <n v="50"/>
    <x v="3"/>
    <x v="3"/>
    <s v="&gt;=50"/>
    <s v="男"/>
    <n v="3690"/>
  </r>
  <r>
    <n v="80910889"/>
    <n v="53"/>
    <x v="3"/>
    <x v="0"/>
    <s v="&gt;=50"/>
    <s v="女"/>
    <n v="4450"/>
  </r>
  <r>
    <n v="89338559"/>
    <n v="33"/>
    <x v="6"/>
    <x v="3"/>
    <s v="30-39"/>
    <s v="女"/>
    <n v="2756"/>
  </r>
  <r>
    <n v="87575837"/>
    <n v="40"/>
    <x v="3"/>
    <x v="1"/>
    <s v="40-49"/>
    <s v="女"/>
    <n v="19033"/>
  </r>
  <r>
    <n v="81283514"/>
    <n v="55"/>
    <x v="6"/>
    <x v="2"/>
    <s v="&gt;=50"/>
    <s v="男"/>
    <n v="18722"/>
  </r>
  <r>
    <n v="86479821"/>
    <n v="34"/>
    <x v="3"/>
    <x v="1"/>
    <s v="30-39"/>
    <s v="男"/>
    <n v="9547"/>
  </r>
  <r>
    <n v="80239904"/>
    <n v="51"/>
    <x v="6"/>
    <x v="3"/>
    <s v="&gt;=50"/>
    <s v="女"/>
    <n v="13734"/>
  </r>
  <r>
    <n v="89112946"/>
    <n v="52"/>
    <x v="3"/>
    <x v="2"/>
    <s v="&gt;=50"/>
    <s v="男"/>
    <n v="19999"/>
  </r>
  <r>
    <n v="82554564"/>
    <n v="27"/>
    <x v="3"/>
    <x v="3"/>
    <s v="20-29"/>
    <s v="女"/>
    <n v="2279"/>
  </r>
  <r>
    <n v="83690230"/>
    <n v="35"/>
    <x v="3"/>
    <x v="0"/>
    <s v="30-39"/>
    <s v="男"/>
    <n v="5916"/>
  </r>
  <r>
    <n v="84289789"/>
    <n v="43"/>
    <x v="3"/>
    <x v="3"/>
    <s v="40-49"/>
    <s v="男"/>
    <n v="2089"/>
  </r>
  <r>
    <n v="80374325"/>
    <n v="45"/>
    <x v="3"/>
    <x v="0"/>
    <s v="40-49"/>
    <s v="男"/>
    <n v="16792"/>
  </r>
  <r>
    <n v="80938177"/>
    <n v="37"/>
    <x v="6"/>
    <x v="3"/>
    <s v="30-39"/>
    <s v="男"/>
    <n v="3564"/>
  </r>
  <r>
    <n v="85952012"/>
    <n v="35"/>
    <x v="3"/>
    <x v="3"/>
    <s v="30-39"/>
    <s v="女"/>
    <n v="4425"/>
  </r>
  <r>
    <n v="86528771"/>
    <n v="42"/>
    <x v="3"/>
    <x v="0"/>
    <s v="40-49"/>
    <s v="女"/>
    <n v="5265"/>
  </r>
  <r>
    <n v="83535574"/>
    <n v="38"/>
    <x v="6"/>
    <x v="2"/>
    <s v="30-39"/>
    <s v="男"/>
    <n v="6553"/>
  </r>
  <r>
    <n v="83535482"/>
    <n v="38"/>
    <x v="3"/>
    <x v="3"/>
    <s v="30-39"/>
    <s v="男"/>
    <n v="6261"/>
  </r>
  <r>
    <n v="86353156"/>
    <n v="27"/>
    <x v="6"/>
    <x v="1"/>
    <s v="20-29"/>
    <s v="男"/>
    <n v="4298"/>
  </r>
  <r>
    <n v="85629566"/>
    <n v="49"/>
    <x v="3"/>
    <x v="2"/>
    <s v="40-49"/>
    <s v="男"/>
    <n v="6804"/>
  </r>
  <r>
    <n v="84125062"/>
    <n v="34"/>
    <x v="3"/>
    <x v="2"/>
    <s v="30-39"/>
    <s v="男"/>
    <n v="3815"/>
  </r>
  <r>
    <n v="86838472"/>
    <n v="40"/>
    <x v="3"/>
    <x v="0"/>
    <s v="40-49"/>
    <s v="男"/>
    <n v="2741"/>
  </r>
  <r>
    <n v="86643383"/>
    <n v="38"/>
    <x v="3"/>
    <x v="1"/>
    <s v="30-39"/>
    <s v="男"/>
    <n v="6673"/>
  </r>
  <r>
    <n v="84170936"/>
    <n v="29"/>
    <x v="0"/>
    <x v="3"/>
    <s v="20-29"/>
    <s v="女"/>
    <n v="7639"/>
  </r>
  <r>
    <n v="81589555"/>
    <n v="22"/>
    <x v="3"/>
    <x v="3"/>
    <s v="20-29"/>
    <s v="男"/>
    <n v="2328"/>
  </r>
  <r>
    <n v="80588502"/>
    <n v="36"/>
    <x v="3"/>
    <x v="1"/>
    <s v="30-39"/>
    <s v="女"/>
    <n v="2153"/>
  </r>
  <r>
    <n v="89662689"/>
    <n v="40"/>
    <x v="3"/>
    <x v="4"/>
    <s v="40-49"/>
    <s v="男"/>
    <n v="4876"/>
  </r>
  <r>
    <n v="80324807"/>
    <n v="46"/>
    <x v="3"/>
    <x v="2"/>
    <s v="40-49"/>
    <s v="男"/>
    <n v="9396"/>
  </r>
  <r>
    <n v="89329454"/>
    <n v="32"/>
    <x v="0"/>
    <x v="2"/>
    <s v="30-39"/>
    <s v="男"/>
    <n v="10400"/>
  </r>
  <r>
    <n v="85558273"/>
    <n v="30"/>
    <x v="6"/>
    <x v="1"/>
    <s v="30-39"/>
    <s v="男"/>
    <n v="8474"/>
  </r>
  <r>
    <n v="86328720"/>
    <n v="27"/>
    <x v="0"/>
    <x v="3"/>
    <s v="20-29"/>
    <s v="女"/>
    <n v="9981"/>
  </r>
  <r>
    <n v="83678401"/>
    <n v="51"/>
    <x v="3"/>
    <x v="2"/>
    <s v="&gt;=50"/>
    <s v="男"/>
    <n v="12490"/>
  </r>
  <r>
    <n v="86112338"/>
    <n v="30"/>
    <x v="6"/>
    <x v="3"/>
    <s v="30-39"/>
    <s v="女"/>
    <n v="2657"/>
  </r>
  <r>
    <n v="86419966"/>
    <n v="41"/>
    <x v="0"/>
    <x v="3"/>
    <s v="40-49"/>
    <s v="女"/>
    <n v="13591"/>
  </r>
  <r>
    <n v="83747503"/>
    <n v="30"/>
    <x v="0"/>
    <x v="2"/>
    <s v="30-39"/>
    <s v="女"/>
    <n v="6696"/>
  </r>
  <r>
    <n v="89574892"/>
    <n v="29"/>
    <x v="3"/>
    <x v="3"/>
    <s v="20-29"/>
    <s v="男"/>
    <n v="2058"/>
  </r>
  <r>
    <n v="84463853"/>
    <n v="45"/>
    <x v="0"/>
    <x v="3"/>
    <s v="40-49"/>
    <s v="女"/>
    <n v="8865"/>
  </r>
  <r>
    <n v="84310077"/>
    <n v="54"/>
    <x v="0"/>
    <x v="3"/>
    <s v="&gt;=50"/>
    <s v="女"/>
    <n v="5940"/>
  </r>
  <r>
    <n v="86168671"/>
    <n v="36"/>
    <x v="3"/>
    <x v="0"/>
    <s v="30-39"/>
    <s v="男"/>
    <n v="5914"/>
  </r>
  <r>
    <n v="87330658"/>
    <n v="33"/>
    <x v="3"/>
    <x v="2"/>
    <s v="30-39"/>
    <s v="女"/>
    <n v="2622"/>
  </r>
  <r>
    <n v="85954691"/>
    <n v="37"/>
    <x v="3"/>
    <x v="3"/>
    <s v="30-39"/>
    <s v="男"/>
    <n v="12185"/>
  </r>
  <r>
    <n v="89182108"/>
    <n v="38"/>
    <x v="0"/>
    <x v="3"/>
    <s v="30-39"/>
    <s v="男"/>
    <n v="10609"/>
  </r>
  <r>
    <n v="85743739"/>
    <n v="31"/>
    <x v="3"/>
    <x v="2"/>
    <s v="30-39"/>
    <s v="男"/>
    <n v="4345"/>
  </r>
  <r>
    <n v="87649241"/>
    <n v="59"/>
    <x v="3"/>
    <x v="3"/>
    <s v="&gt;=50"/>
    <s v="男"/>
    <n v="2177"/>
  </r>
  <r>
    <n v="87306090"/>
    <n v="37"/>
    <x v="0"/>
    <x v="2"/>
    <s v="30-39"/>
    <s v="男"/>
    <n v="2793"/>
  </r>
  <r>
    <n v="82437706"/>
    <n v="29"/>
    <x v="0"/>
    <x v="1"/>
    <s v="20-29"/>
    <s v="女"/>
    <n v="7918"/>
  </r>
  <r>
    <n v="82068586"/>
    <n v="35"/>
    <x v="0"/>
    <x v="3"/>
    <s v="30-39"/>
    <s v="女"/>
    <n v="8789"/>
  </r>
  <r>
    <n v="83105724"/>
    <n v="29"/>
    <x v="3"/>
    <x v="1"/>
    <s v="20-29"/>
    <s v="男"/>
    <n v="2389"/>
  </r>
  <r>
    <n v="85485258"/>
    <n v="52"/>
    <x v="3"/>
    <x v="3"/>
    <s v="&gt;=50"/>
    <s v="女"/>
    <n v="3212"/>
  </r>
  <r>
    <n v="82180734"/>
    <n v="42"/>
    <x v="3"/>
    <x v="0"/>
    <s v="40-49"/>
    <s v="男"/>
    <n v="19232"/>
  </r>
  <r>
    <n v="83378509"/>
    <n v="59"/>
    <x v="2"/>
    <x v="0"/>
    <s v="&gt;=50"/>
    <s v="男"/>
    <n v="2267"/>
  </r>
  <r>
    <n v="80597329"/>
    <n v="50"/>
    <x v="0"/>
    <x v="2"/>
    <s v="&gt;=50"/>
    <s v="女"/>
    <n v="19517"/>
  </r>
  <r>
    <n v="86842654"/>
    <n v="33"/>
    <x v="6"/>
    <x v="3"/>
    <s v="30-39"/>
    <s v="男"/>
    <n v="2436"/>
  </r>
  <r>
    <n v="83291500"/>
    <n v="43"/>
    <x v="0"/>
    <x v="3"/>
    <s v="40-49"/>
    <s v="女"/>
    <n v="16064"/>
  </r>
  <r>
    <n v="84059914"/>
    <n v="33"/>
    <x v="6"/>
    <x v="0"/>
    <s v="30-39"/>
    <s v="女"/>
    <n v="2707"/>
  </r>
  <r>
    <n v="88066159"/>
    <n v="52"/>
    <x v="0"/>
    <x v="2"/>
    <s v="&gt;=50"/>
    <s v="男"/>
    <n v="19068"/>
  </r>
  <r>
    <n v="84816095"/>
    <n v="32"/>
    <x v="0"/>
    <x v="0"/>
    <s v="30-39"/>
    <s v="女"/>
    <n v="3931"/>
  </r>
  <r>
    <n v="85911545"/>
    <n v="32"/>
    <x v="6"/>
    <x v="3"/>
    <s v="30-39"/>
    <s v="男"/>
    <n v="3730"/>
  </r>
  <r>
    <n v="81506012"/>
    <n v="39"/>
    <x v="3"/>
    <x v="2"/>
    <s v="30-39"/>
    <s v="女"/>
    <n v="2232"/>
  </r>
  <r>
    <n v="89559113"/>
    <n v="32"/>
    <x v="0"/>
    <x v="2"/>
    <s v="30-39"/>
    <s v="男"/>
    <n v="4465"/>
  </r>
  <r>
    <n v="80816447"/>
    <n v="41"/>
    <x v="3"/>
    <x v="0"/>
    <s v="40-49"/>
    <s v="男"/>
    <n v="3072"/>
  </r>
  <r>
    <n v="84776838"/>
    <n v="40"/>
    <x v="3"/>
    <x v="0"/>
    <s v="40-49"/>
    <s v="男"/>
    <n v="3319"/>
  </r>
  <r>
    <n v="89304752"/>
    <n v="45"/>
    <x v="6"/>
    <x v="3"/>
    <s v="40-49"/>
    <s v="男"/>
    <n v="19202"/>
  </r>
  <r>
    <n v="82803009"/>
    <n v="31"/>
    <x v="3"/>
    <x v="2"/>
    <s v="30-39"/>
    <s v="男"/>
    <n v="13675"/>
  </r>
  <r>
    <n v="84661020"/>
    <n v="33"/>
    <x v="3"/>
    <x v="2"/>
    <s v="30-39"/>
    <s v="女"/>
    <n v="2911"/>
  </r>
  <r>
    <n v="89840995"/>
    <n v="34"/>
    <x v="3"/>
    <x v="2"/>
    <s v="30-39"/>
    <s v="男"/>
    <n v="5957"/>
  </r>
  <r>
    <n v="83315521"/>
    <n v="37"/>
    <x v="6"/>
    <x v="0"/>
    <s v="30-39"/>
    <s v="女"/>
    <n v="3920"/>
  </r>
  <r>
    <n v="87456805"/>
    <n v="45"/>
    <x v="3"/>
    <x v="2"/>
    <s v="40-49"/>
    <s v="男"/>
    <n v="6434"/>
  </r>
  <r>
    <n v="84098388"/>
    <n v="37"/>
    <x v="3"/>
    <x v="3"/>
    <s v="30-39"/>
    <s v="男"/>
    <n v="10048"/>
  </r>
  <r>
    <n v="82809725"/>
    <n v="39"/>
    <x v="3"/>
    <x v="2"/>
    <s v="30-39"/>
    <s v="女"/>
    <n v="10938"/>
  </r>
  <r>
    <n v="89105470"/>
    <n v="29"/>
    <x v="3"/>
    <x v="3"/>
    <s v="20-29"/>
    <s v="男"/>
    <n v="2340"/>
  </r>
  <r>
    <n v="84343603"/>
    <n v="42"/>
    <x v="3"/>
    <x v="0"/>
    <s v="40-49"/>
    <s v="女"/>
    <n v="6545"/>
  </r>
  <r>
    <n v="89127426"/>
    <n v="29"/>
    <x v="0"/>
    <x v="0"/>
    <s v="20-29"/>
    <s v="男"/>
    <n v="6931"/>
  </r>
  <r>
    <n v="87704208"/>
    <n v="25"/>
    <x v="3"/>
    <x v="3"/>
    <s v="20-29"/>
    <s v="女"/>
    <n v="4898"/>
  </r>
  <r>
    <n v="85603112"/>
    <n v="42"/>
    <x v="6"/>
    <x v="3"/>
    <s v="40-49"/>
    <s v="女"/>
    <n v="2593"/>
  </r>
  <r>
    <n v="81273534"/>
    <n v="40"/>
    <x v="3"/>
    <x v="0"/>
    <s v="40-49"/>
    <s v="男"/>
    <n v="19436"/>
  </r>
  <r>
    <n v="85945501"/>
    <n v="51"/>
    <x v="3"/>
    <x v="3"/>
    <s v="&gt;=50"/>
    <s v="男"/>
    <n v="2723"/>
  </r>
  <r>
    <n v="82738382"/>
    <n v="31"/>
    <x v="3"/>
    <x v="0"/>
    <s v="30-39"/>
    <s v="男"/>
    <n v="3479"/>
  </r>
  <r>
    <n v="89882272"/>
    <n v="32"/>
    <x v="6"/>
    <x v="3"/>
    <s v="30-39"/>
    <s v="男"/>
    <n v="2794"/>
  </r>
  <r>
    <n v="86874887"/>
    <n v="38"/>
    <x v="0"/>
    <x v="0"/>
    <s v="30-39"/>
    <s v="男"/>
    <n v="5249"/>
  </r>
  <r>
    <n v="80254246"/>
    <n v="32"/>
    <x v="3"/>
    <x v="1"/>
    <s v="30-39"/>
    <s v="男"/>
    <n v="2176"/>
  </r>
  <r>
    <n v="88223833"/>
    <n v="46"/>
    <x v="0"/>
    <x v="3"/>
    <s v="40-49"/>
    <s v="女"/>
    <n v="16872"/>
  </r>
  <r>
    <n v="82980157"/>
    <n v="28"/>
    <x v="6"/>
    <x v="2"/>
    <s v="20-29"/>
    <s v="男"/>
    <n v="3485"/>
  </r>
  <r>
    <n v="85304561"/>
    <n v="29"/>
    <x v="0"/>
    <x v="3"/>
    <s v="20-29"/>
    <s v="男"/>
    <n v="6644"/>
  </r>
  <r>
    <n v="88127628"/>
    <n v="31"/>
    <x v="3"/>
    <x v="3"/>
    <s v="30-39"/>
    <s v="男"/>
    <n v="5582"/>
  </r>
  <r>
    <n v="81889994"/>
    <n v="25"/>
    <x v="3"/>
    <x v="0"/>
    <s v="20-29"/>
    <s v="男"/>
    <n v="4000"/>
  </r>
  <r>
    <n v="82929958"/>
    <n v="45"/>
    <x v="3"/>
    <x v="0"/>
    <s v="40-49"/>
    <s v="男"/>
    <n v="13496"/>
  </r>
  <r>
    <n v="85260232"/>
    <n v="36"/>
    <x v="3"/>
    <x v="3"/>
    <s v="30-39"/>
    <s v="男"/>
    <n v="3210"/>
  </r>
  <r>
    <n v="84151596"/>
    <n v="55"/>
    <x v="3"/>
    <x v="3"/>
    <s v="&gt;=50"/>
    <s v="男"/>
    <n v="19045"/>
  </r>
  <r>
    <n v="86398474"/>
    <n v="47"/>
    <x v="3"/>
    <x v="2"/>
    <s v="40-49"/>
    <s v="男"/>
    <n v="11849"/>
  </r>
  <r>
    <n v="86759411"/>
    <n v="28"/>
    <x v="6"/>
    <x v="3"/>
    <s v="20-29"/>
    <s v="男"/>
    <n v="2070"/>
  </r>
  <r>
    <n v="81424352"/>
    <n v="37"/>
    <x v="0"/>
    <x v="2"/>
    <s v="30-39"/>
    <s v="男"/>
    <n v="6502"/>
  </r>
  <r>
    <n v="86746353"/>
    <n v="21"/>
    <x v="3"/>
    <x v="0"/>
    <s v="20-29"/>
    <s v="男"/>
    <n v="3230"/>
  </r>
  <r>
    <n v="83835578"/>
    <n v="37"/>
    <x v="3"/>
    <x v="2"/>
    <s v="30-39"/>
    <s v="女"/>
    <n v="13603"/>
  </r>
  <r>
    <n v="88835681"/>
    <n v="35"/>
    <x v="6"/>
    <x v="3"/>
    <s v="30-39"/>
    <s v="女"/>
    <n v="11996"/>
  </r>
  <r>
    <n v="81542337"/>
    <n v="38"/>
    <x v="0"/>
    <x v="0"/>
    <s v="30-39"/>
    <s v="女"/>
    <n v="5605"/>
  </r>
  <r>
    <n v="83792813"/>
    <n v="26"/>
    <x v="3"/>
    <x v="3"/>
    <s v="20-29"/>
    <s v="女"/>
    <n v="6397"/>
  </r>
  <r>
    <n v="86937678"/>
    <n v="50"/>
    <x v="3"/>
    <x v="1"/>
    <s v="&gt;=50"/>
    <s v="男"/>
    <n v="19144"/>
  </r>
  <r>
    <n v="88758351"/>
    <n v="53"/>
    <x v="3"/>
    <x v="2"/>
    <s v="&gt;=50"/>
    <s v="男"/>
    <n v="17584"/>
  </r>
  <r>
    <n v="80012464"/>
    <n v="42"/>
    <x v="0"/>
    <x v="1"/>
    <s v="40-49"/>
    <s v="男"/>
    <n v="4907"/>
  </r>
  <r>
    <n v="86355511"/>
    <n v="29"/>
    <x v="0"/>
    <x v="0"/>
    <s v="20-29"/>
    <s v="男"/>
    <n v="4554"/>
  </r>
  <r>
    <n v="83218804"/>
    <n v="55"/>
    <x v="3"/>
    <x v="0"/>
    <s v="&gt;=50"/>
    <s v="男"/>
    <n v="5415"/>
  </r>
  <r>
    <n v="89892711"/>
    <n v="26"/>
    <x v="3"/>
    <x v="0"/>
    <s v="20-29"/>
    <s v="男"/>
    <n v="4741"/>
  </r>
  <r>
    <n v="88988985"/>
    <n v="37"/>
    <x v="3"/>
    <x v="3"/>
    <s v="30-39"/>
    <s v="女"/>
    <n v="2115"/>
  </r>
  <r>
    <n v="85005844"/>
    <n v="44"/>
    <x v="3"/>
    <x v="3"/>
    <s v="40-49"/>
    <s v="男"/>
    <n v="3161"/>
  </r>
  <r>
    <n v="82129537"/>
    <n v="38"/>
    <x v="3"/>
    <x v="2"/>
    <s v="30-39"/>
    <s v="男"/>
    <n v="5745"/>
  </r>
  <r>
    <n v="80034867"/>
    <n v="26"/>
    <x v="3"/>
    <x v="2"/>
    <s v="20-29"/>
    <s v="男"/>
    <n v="2373"/>
  </r>
  <r>
    <n v="85750680"/>
    <n v="28"/>
    <x v="3"/>
    <x v="0"/>
    <s v="20-29"/>
    <s v="女"/>
    <n v="3310"/>
  </r>
  <r>
    <n v="82981638"/>
    <n v="49"/>
    <x v="3"/>
    <x v="2"/>
    <s v="40-49"/>
    <s v="女"/>
    <n v="18665"/>
  </r>
  <r>
    <n v="85982181"/>
    <n v="36"/>
    <x v="3"/>
    <x v="3"/>
    <s v="30-39"/>
    <s v="男"/>
    <n v="4485"/>
  </r>
  <r>
    <n v="88175437"/>
    <n v="31"/>
    <x v="0"/>
    <x v="3"/>
    <s v="30-39"/>
    <s v="女"/>
    <n v="2789"/>
  </r>
  <r>
    <n v="88490642"/>
    <n v="26"/>
    <x v="0"/>
    <x v="2"/>
    <s v="20-29"/>
    <s v="男"/>
    <n v="5828"/>
  </r>
  <r>
    <n v="89078354"/>
    <n v="37"/>
    <x v="3"/>
    <x v="3"/>
    <s v="30-39"/>
    <s v="男"/>
    <n v="2326"/>
  </r>
  <r>
    <n v="81124022"/>
    <n v="42"/>
    <x v="0"/>
    <x v="3"/>
    <s v="40-49"/>
    <s v="女"/>
    <n v="13525"/>
  </r>
  <r>
    <n v="84977992"/>
    <n v="25"/>
    <x v="3"/>
    <x v="3"/>
    <s v="20-29"/>
    <s v="男"/>
    <n v="1420"/>
  </r>
  <r>
    <n v="88373875"/>
    <n v="35"/>
    <x v="0"/>
    <x v="3"/>
    <s v="30-39"/>
    <s v="男"/>
    <n v="8020"/>
  </r>
  <r>
    <n v="85252534"/>
    <n v="36"/>
    <x v="3"/>
    <x v="2"/>
    <s v="30-39"/>
    <s v="男"/>
    <n v="3688"/>
  </r>
  <r>
    <n v="87451915"/>
    <n v="51"/>
    <x v="3"/>
    <x v="3"/>
    <s v="&gt;=50"/>
    <s v="男"/>
    <n v="5482"/>
  </r>
  <r>
    <n v="89257491"/>
    <n v="41"/>
    <x v="0"/>
    <x v="2"/>
    <s v="40-49"/>
    <s v="男"/>
    <n v="16015"/>
  </r>
  <r>
    <n v="81926089"/>
    <n v="25"/>
    <x v="0"/>
    <x v="3"/>
    <s v="20-29"/>
    <s v="女"/>
    <n v="1200"/>
  </r>
  <r>
    <n v="84341316"/>
    <n v="28"/>
    <x v="3"/>
    <x v="0"/>
    <s v="20-29"/>
    <s v="男"/>
    <n v="5661"/>
  </r>
  <r>
    <n v="84872194"/>
    <n v="31"/>
    <x v="0"/>
    <x v="3"/>
    <s v="30-39"/>
    <s v="男"/>
    <n v="6929"/>
  </r>
  <r>
    <n v="89119314"/>
    <n v="39"/>
    <x v="3"/>
    <x v="3"/>
    <s v="30-39"/>
    <s v="男"/>
    <n v="9613"/>
  </r>
  <r>
    <n v="86310509"/>
    <n v="36"/>
    <x v="3"/>
    <x v="2"/>
    <s v="30-39"/>
    <s v="女"/>
    <n v="5674"/>
  </r>
  <r>
    <n v="83375630"/>
    <n v="32"/>
    <x v="0"/>
    <x v="3"/>
    <s v="30-39"/>
    <s v="男"/>
    <n v="5484"/>
  </r>
  <r>
    <n v="81695226"/>
    <n v="38"/>
    <x v="3"/>
    <x v="0"/>
    <s v="30-39"/>
    <s v="女"/>
    <n v="12061"/>
  </r>
  <r>
    <n v="83924279"/>
    <n v="58"/>
    <x v="3"/>
    <x v="2"/>
    <s v="&gt;=50"/>
    <s v="男"/>
    <n v="5660"/>
  </r>
  <r>
    <n v="81135187"/>
    <n v="31"/>
    <x v="3"/>
    <x v="2"/>
    <s v="30-39"/>
    <s v="男"/>
    <n v="4821"/>
  </r>
  <r>
    <n v="86344824"/>
    <n v="31"/>
    <x v="2"/>
    <x v="3"/>
    <s v="30-39"/>
    <s v="男"/>
    <n v="6410"/>
  </r>
  <r>
    <n v="88152673"/>
    <n v="45"/>
    <x v="3"/>
    <x v="3"/>
    <s v="40-49"/>
    <s v="男"/>
    <n v="5210"/>
  </r>
  <r>
    <n v="81288988"/>
    <n v="31"/>
    <x v="3"/>
    <x v="2"/>
    <s v="30-39"/>
    <s v="男"/>
    <n v="2695"/>
  </r>
  <r>
    <n v="81650314"/>
    <n v="33"/>
    <x v="3"/>
    <x v="2"/>
    <s v="30-39"/>
    <s v="女"/>
    <n v="11878"/>
  </r>
  <r>
    <n v="87835738"/>
    <n v="39"/>
    <x v="3"/>
    <x v="1"/>
    <s v="30-39"/>
    <s v="男"/>
    <n v="17068"/>
  </r>
  <r>
    <n v="83775648"/>
    <n v="43"/>
    <x v="3"/>
    <x v="2"/>
    <s v="40-49"/>
    <s v="女"/>
    <n v="2455"/>
  </r>
  <r>
    <n v="80342570"/>
    <n v="49"/>
    <x v="3"/>
    <x v="0"/>
    <s v="40-49"/>
    <s v="女"/>
    <n v="13964"/>
  </r>
  <r>
    <n v="88245475"/>
    <n v="52"/>
    <x v="3"/>
    <x v="2"/>
    <s v="&gt;=50"/>
    <s v="男"/>
    <n v="4941"/>
  </r>
  <r>
    <n v="88412984"/>
    <n v="27"/>
    <x v="3"/>
    <x v="3"/>
    <s v="20-29"/>
    <s v="女"/>
    <n v="2478"/>
  </r>
  <r>
    <n v="86117595"/>
    <n v="32"/>
    <x v="0"/>
    <x v="0"/>
    <s v="30-39"/>
    <s v="女"/>
    <n v="5228"/>
  </r>
  <r>
    <n v="86453389"/>
    <n v="27"/>
    <x v="0"/>
    <x v="3"/>
    <s v="20-29"/>
    <s v="男"/>
    <n v="4478"/>
  </r>
  <r>
    <n v="87100081"/>
    <n v="31"/>
    <x v="0"/>
    <x v="3"/>
    <s v="30-39"/>
    <s v="男"/>
    <n v="7547"/>
  </r>
  <r>
    <n v="80076226"/>
    <n v="32"/>
    <x v="3"/>
    <x v="2"/>
    <s v="30-39"/>
    <s v="女"/>
    <n v="5055"/>
  </r>
  <r>
    <n v="80098515"/>
    <n v="28"/>
    <x v="3"/>
    <x v="2"/>
    <s v="20-29"/>
    <s v="男"/>
    <n v="3464"/>
  </r>
  <r>
    <n v="87805469"/>
    <n v="30"/>
    <x v="3"/>
    <x v="0"/>
    <s v="30-39"/>
    <s v="女"/>
    <n v="5775"/>
  </r>
  <r>
    <n v="85920843"/>
    <n v="31"/>
    <x v="3"/>
    <x v="0"/>
    <s v="30-39"/>
    <s v="女"/>
    <n v="8943"/>
  </r>
  <r>
    <n v="89111951"/>
    <n v="39"/>
    <x v="3"/>
    <x v="0"/>
    <s v="30-39"/>
    <s v="男"/>
    <n v="19272"/>
  </r>
  <r>
    <n v="87415152"/>
    <n v="39"/>
    <x v="0"/>
    <x v="0"/>
    <s v="30-39"/>
    <s v="女"/>
    <n v="5238"/>
  </r>
  <r>
    <n v="88445900"/>
    <n v="33"/>
    <x v="0"/>
    <x v="3"/>
    <s v="30-39"/>
    <s v="男"/>
    <n v="4682"/>
  </r>
  <r>
    <n v="81329631"/>
    <n v="47"/>
    <x v="3"/>
    <x v="4"/>
    <s v="40-49"/>
    <s v="男"/>
    <n v="18300"/>
  </r>
  <r>
    <n v="86722713"/>
    <n v="43"/>
    <x v="3"/>
    <x v="2"/>
    <s v="40-49"/>
    <s v="女"/>
    <n v="5257"/>
  </r>
  <r>
    <n v="85057386"/>
    <n v="27"/>
    <x v="0"/>
    <x v="1"/>
    <s v="20-29"/>
    <s v="男"/>
    <n v="6349"/>
  </r>
  <r>
    <n v="86792422"/>
    <n v="54"/>
    <x v="3"/>
    <x v="2"/>
    <s v="&gt;=50"/>
    <s v="女"/>
    <n v="4869"/>
  </r>
  <r>
    <n v="85031049"/>
    <n v="43"/>
    <x v="3"/>
    <x v="3"/>
    <s v="40-49"/>
    <s v="女"/>
    <n v="9985"/>
  </r>
  <r>
    <n v="84560736"/>
    <n v="45"/>
    <x v="3"/>
    <x v="2"/>
    <s v="40-49"/>
    <s v="男"/>
    <n v="3697"/>
  </r>
  <r>
    <n v="87033395"/>
    <n v="40"/>
    <x v="0"/>
    <x v="0"/>
    <s v="40-49"/>
    <s v="男"/>
    <n v="7457"/>
  </r>
  <r>
    <n v="82357001"/>
    <n v="29"/>
    <x v="3"/>
    <x v="2"/>
    <s v="20-29"/>
    <s v="男"/>
    <n v="2119"/>
  </r>
  <r>
    <n v="80696203"/>
    <n v="29"/>
    <x v="3"/>
    <x v="4"/>
    <s v="20-29"/>
    <s v="男"/>
    <n v="3983"/>
  </r>
  <r>
    <n v="89335245"/>
    <n v="30"/>
    <x v="0"/>
    <x v="3"/>
    <s v="30-39"/>
    <s v="女"/>
    <n v="6118"/>
  </r>
  <r>
    <n v="83716663"/>
    <n v="27"/>
    <x v="0"/>
    <x v="2"/>
    <s v="20-29"/>
    <s v="女"/>
    <n v="6214"/>
  </r>
  <r>
    <n v="80717435"/>
    <n v="37"/>
    <x v="3"/>
    <x v="0"/>
    <s v="30-39"/>
    <s v="男"/>
    <n v="6347"/>
  </r>
  <r>
    <n v="83868545"/>
    <n v="38"/>
    <x v="3"/>
    <x v="0"/>
    <s v="30-39"/>
    <s v="男"/>
    <n v="11510"/>
  </r>
  <r>
    <n v="89412396"/>
    <n v="31"/>
    <x v="3"/>
    <x v="2"/>
    <s v="30-39"/>
    <s v="女"/>
    <n v="7143"/>
  </r>
  <r>
    <n v="85537520"/>
    <n v="29"/>
    <x v="0"/>
    <x v="1"/>
    <s v="20-29"/>
    <s v="女"/>
    <n v="8268"/>
  </r>
  <r>
    <n v="83801510"/>
    <n v="35"/>
    <x v="3"/>
    <x v="2"/>
    <s v="30-39"/>
    <s v="男"/>
    <n v="8095"/>
  </r>
  <r>
    <n v="86540650"/>
    <n v="23"/>
    <x v="3"/>
    <x v="1"/>
    <s v="20-29"/>
    <s v="男"/>
    <n v="2904"/>
  </r>
  <r>
    <n v="84806041"/>
    <n v="41"/>
    <x v="3"/>
    <x v="3"/>
    <s v="40-49"/>
    <s v="男"/>
    <n v="6032"/>
  </r>
  <r>
    <n v="81125645"/>
    <n v="47"/>
    <x v="0"/>
    <x v="1"/>
    <s v="40-49"/>
    <s v="男"/>
    <n v="2976"/>
  </r>
  <r>
    <n v="89525925"/>
    <n v="42"/>
    <x v="3"/>
    <x v="4"/>
    <s v="40-49"/>
    <s v="女"/>
    <n v="15992"/>
  </r>
  <r>
    <n v="81559254"/>
    <n v="29"/>
    <x v="0"/>
    <x v="3"/>
    <s v="20-29"/>
    <s v="男"/>
    <n v="4649"/>
  </r>
  <r>
    <n v="83537730"/>
    <n v="42"/>
    <x v="2"/>
    <x v="1"/>
    <s v="40-49"/>
    <s v="男"/>
    <n v="2696"/>
  </r>
  <r>
    <n v="85565412"/>
    <n v="32"/>
    <x v="3"/>
    <x v="3"/>
    <s v="30-39"/>
    <s v="女"/>
    <n v="2370"/>
  </r>
  <r>
    <n v="84370198"/>
    <n v="48"/>
    <x v="0"/>
    <x v="1"/>
    <s v="40-49"/>
    <s v="女"/>
    <n v="12504"/>
  </r>
  <r>
    <n v="80842713"/>
    <n v="37"/>
    <x v="3"/>
    <x v="3"/>
    <s v="30-39"/>
    <s v="男"/>
    <n v="5974"/>
  </r>
  <r>
    <n v="81369853"/>
    <n v="30"/>
    <x v="0"/>
    <x v="0"/>
    <s v="30-39"/>
    <s v="女"/>
    <n v="4736"/>
  </r>
  <r>
    <n v="86890557"/>
    <n v="26"/>
    <x v="0"/>
    <x v="3"/>
    <s v="20-29"/>
    <s v="男"/>
    <n v="5296"/>
  </r>
  <r>
    <n v="85726822"/>
    <n v="42"/>
    <x v="3"/>
    <x v="2"/>
    <s v="40-49"/>
    <s v="男"/>
    <n v="6781"/>
  </r>
  <r>
    <n v="84340348"/>
    <n v="21"/>
    <x v="0"/>
    <x v="1"/>
    <s v="20-29"/>
    <s v="女"/>
    <n v="2174"/>
  </r>
  <r>
    <n v="80244628"/>
    <n v="36"/>
    <x v="0"/>
    <x v="4"/>
    <s v="30-39"/>
    <s v="女"/>
    <n v="6653"/>
  </r>
  <r>
    <n v="84473517"/>
    <n v="36"/>
    <x v="0"/>
    <x v="2"/>
    <s v="30-39"/>
    <s v="男"/>
    <n v="9699"/>
  </r>
  <r>
    <n v="89581278"/>
    <n v="57"/>
    <x v="3"/>
    <x v="2"/>
    <s v="&gt;=50"/>
    <s v="男"/>
    <n v="6755"/>
  </r>
  <r>
    <n v="87905339"/>
    <n v="40"/>
    <x v="3"/>
    <x v="2"/>
    <s v="40-49"/>
    <s v="女"/>
    <n v="2213"/>
  </r>
  <r>
    <n v="88623176"/>
    <n v="21"/>
    <x v="0"/>
    <x v="0"/>
    <s v="20-29"/>
    <s v="男"/>
    <n v="2610"/>
  </r>
  <r>
    <n v="89996570"/>
    <n v="33"/>
    <x v="0"/>
    <x v="3"/>
    <s v="30-39"/>
    <s v="女"/>
    <n v="2851"/>
  </r>
  <r>
    <n v="83066009"/>
    <n v="37"/>
    <x v="3"/>
    <x v="3"/>
    <s v="30-39"/>
    <s v="女"/>
    <n v="3452"/>
  </r>
  <r>
    <n v="88341267"/>
    <n v="46"/>
    <x v="3"/>
    <x v="2"/>
    <s v="40-49"/>
    <s v="女"/>
    <n v="5258"/>
  </r>
  <r>
    <n v="84526700"/>
    <n v="41"/>
    <x v="0"/>
    <x v="3"/>
    <s v="40-49"/>
    <s v="男"/>
    <n v="9355"/>
  </r>
  <r>
    <n v="88990916"/>
    <n v="50"/>
    <x v="3"/>
    <x v="3"/>
    <s v="&gt;=50"/>
    <s v="男"/>
    <n v="10496"/>
  </r>
  <r>
    <n v="82515327"/>
    <n v="40"/>
    <x v="0"/>
    <x v="0"/>
    <s v="40-49"/>
    <s v="男"/>
    <n v="6380"/>
  </r>
  <r>
    <n v="82093222"/>
    <n v="31"/>
    <x v="3"/>
    <x v="2"/>
    <s v="30-39"/>
    <s v="男"/>
    <n v="2657"/>
  </r>
  <r>
    <n v="88198671"/>
    <n v="21"/>
    <x v="0"/>
    <x v="3"/>
    <s v="20-29"/>
    <s v="女"/>
    <n v="2716"/>
  </r>
  <r>
    <n v="89118214"/>
    <n v="29"/>
    <x v="3"/>
    <x v="3"/>
    <s v="20-29"/>
    <s v="男"/>
    <n v="2201"/>
  </r>
  <r>
    <n v="82279603"/>
    <n v="35"/>
    <x v="3"/>
    <x v="2"/>
    <s v="30-39"/>
    <s v="男"/>
    <n v="6540"/>
  </r>
  <r>
    <n v="81586708"/>
    <n v="27"/>
    <x v="3"/>
    <x v="0"/>
    <s v="20-29"/>
    <s v="男"/>
    <n v="3816"/>
  </r>
  <r>
    <n v="81496682"/>
    <n v="28"/>
    <x v="0"/>
    <x v="2"/>
    <s v="20-29"/>
    <s v="男"/>
    <n v="5253"/>
  </r>
  <r>
    <n v="80769047"/>
    <n v="49"/>
    <x v="3"/>
    <x v="3"/>
    <s v="40-49"/>
    <s v="男"/>
    <n v="10965"/>
  </r>
  <r>
    <n v="84316753"/>
    <n v="51"/>
    <x v="0"/>
    <x v="0"/>
    <s v="&gt;=50"/>
    <s v="女"/>
    <n v="4936"/>
  </r>
  <r>
    <n v="86665408"/>
    <n v="36"/>
    <x v="3"/>
    <x v="3"/>
    <s v="30-39"/>
    <s v="女"/>
    <n v="2543"/>
  </r>
  <r>
    <n v="89224033"/>
    <n v="34"/>
    <x v="0"/>
    <x v="3"/>
    <s v="30-39"/>
    <s v="男"/>
    <n v="5304"/>
  </r>
  <r>
    <n v="85275488"/>
    <n v="55"/>
    <x v="3"/>
    <x v="3"/>
    <s v="&gt;=50"/>
    <s v="女"/>
    <n v="16659"/>
  </r>
  <r>
    <n v="87246994"/>
    <n v="24"/>
    <x v="0"/>
    <x v="2"/>
    <s v="20-29"/>
    <s v="女"/>
    <n v="4260"/>
  </r>
  <r>
    <n v="80789830"/>
    <n v="30"/>
    <x v="0"/>
    <x v="1"/>
    <s v="30-39"/>
    <s v="男"/>
    <n v="2476"/>
  </r>
  <r>
    <n v="81348018"/>
    <n v="26"/>
    <x v="3"/>
    <x v="1"/>
    <s v="20-29"/>
    <s v="男"/>
    <n v="3102"/>
  </r>
  <r>
    <n v="87022377"/>
    <n v="22"/>
    <x v="3"/>
    <x v="3"/>
    <s v="20-29"/>
    <s v="女"/>
    <n v="2244"/>
  </r>
  <r>
    <n v="89142032"/>
    <n v="36"/>
    <x v="0"/>
    <x v="0"/>
    <s v="30-39"/>
    <s v="男"/>
    <n v="7596"/>
  </r>
  <r>
    <n v="89442245"/>
    <n v="30"/>
    <x v="3"/>
    <x v="3"/>
    <s v="30-39"/>
    <s v="男"/>
    <n v="2285"/>
  </r>
  <r>
    <n v="88333804"/>
    <n v="37"/>
    <x v="3"/>
    <x v="3"/>
    <s v="30-39"/>
    <s v="女"/>
    <n v="3034"/>
  </r>
  <r>
    <n v="85334630"/>
    <n v="40"/>
    <x v="0"/>
    <x v="0"/>
    <s v="40-49"/>
    <s v="女"/>
    <n v="5715"/>
  </r>
  <r>
    <n v="81384286"/>
    <n v="42"/>
    <x v="3"/>
    <x v="2"/>
    <s v="40-49"/>
    <s v="女"/>
    <n v="2576"/>
  </r>
  <r>
    <n v="86240254"/>
    <n v="37"/>
    <x v="3"/>
    <x v="2"/>
    <s v="30-39"/>
    <s v="男"/>
    <n v="4197"/>
  </r>
  <r>
    <n v="89148778"/>
    <n v="43"/>
    <x v="3"/>
    <x v="3"/>
    <s v="40-49"/>
    <s v="男"/>
    <n v="14336"/>
  </r>
  <r>
    <n v="80368421"/>
    <n v="40"/>
    <x v="3"/>
    <x v="3"/>
    <s v="40-49"/>
    <s v="女"/>
    <n v="3448"/>
  </r>
  <r>
    <n v="86925527"/>
    <n v="54"/>
    <x v="3"/>
    <x v="0"/>
    <s v="&gt;=50"/>
    <s v="男"/>
    <n v="19406"/>
  </r>
  <r>
    <n v="87958040"/>
    <n v="34"/>
    <x v="0"/>
    <x v="2"/>
    <s v="30-39"/>
    <s v="女"/>
    <n v="6538"/>
  </r>
  <r>
    <n v="89535630"/>
    <n v="31"/>
    <x v="3"/>
    <x v="0"/>
    <s v="30-39"/>
    <s v="女"/>
    <n v="4306"/>
  </r>
  <r>
    <n v="80857316"/>
    <n v="43"/>
    <x v="3"/>
    <x v="3"/>
    <s v="40-49"/>
    <s v="男"/>
    <n v="2258"/>
  </r>
  <r>
    <n v="81082264"/>
    <n v="43"/>
    <x v="3"/>
    <x v="2"/>
    <s v="40-49"/>
    <s v="女"/>
    <n v="4522"/>
  </r>
  <r>
    <n v="87735901"/>
    <n v="25"/>
    <x v="0"/>
    <x v="0"/>
    <s v="20-29"/>
    <s v="女"/>
    <n v="4487"/>
  </r>
  <r>
    <n v="84154427"/>
    <n v="37"/>
    <x v="3"/>
    <x v="4"/>
    <s v="30-39"/>
    <s v="女"/>
    <n v="4449"/>
  </r>
  <r>
    <n v="82187909"/>
    <n v="31"/>
    <x v="3"/>
    <x v="0"/>
    <s v="30-39"/>
    <s v="男"/>
    <n v="2218"/>
  </r>
  <r>
    <n v="81574407"/>
    <n v="39"/>
    <x v="3"/>
    <x v="1"/>
    <s v="30-39"/>
    <s v="男"/>
    <n v="19197"/>
  </r>
  <r>
    <n v="86929113"/>
    <n v="56"/>
    <x v="0"/>
    <x v="3"/>
    <s v="&gt;=50"/>
    <s v="女"/>
    <n v="13212"/>
  </r>
  <r>
    <n v="85476994"/>
    <n v="30"/>
    <x v="0"/>
    <x v="3"/>
    <s v="30-39"/>
    <s v="女"/>
    <n v="6577"/>
  </r>
  <r>
    <n v="80407978"/>
    <n v="41"/>
    <x v="0"/>
    <x v="3"/>
    <s v="40-49"/>
    <s v="男"/>
    <n v="8392"/>
  </r>
  <r>
    <n v="80551645"/>
    <n v="28"/>
    <x v="3"/>
    <x v="0"/>
    <s v="20-29"/>
    <s v="男"/>
    <n v="4558"/>
  </r>
  <r>
    <n v="80113719"/>
    <n v="25"/>
    <x v="3"/>
    <x v="3"/>
    <s v="20-29"/>
    <s v="男"/>
    <n v="4031"/>
  </r>
  <r>
    <n v="88873485"/>
    <n v="52"/>
    <x v="3"/>
    <x v="3"/>
    <s v="&gt;=50"/>
    <s v="男"/>
    <n v="7969"/>
  </r>
  <r>
    <n v="80287078"/>
    <n v="45"/>
    <x v="3"/>
    <x v="0"/>
    <s v="40-49"/>
    <s v="男"/>
    <n v="2654"/>
  </r>
  <r>
    <n v="84323268"/>
    <n v="52"/>
    <x v="3"/>
    <x v="0"/>
    <s v="&gt;=50"/>
    <s v="女"/>
    <n v="16555"/>
  </r>
  <r>
    <n v="84971268"/>
    <n v="42"/>
    <x v="3"/>
    <x v="0"/>
    <s v="40-49"/>
    <s v="女"/>
    <n v="4556"/>
  </r>
  <r>
    <n v="87173048"/>
    <n v="30"/>
    <x v="3"/>
    <x v="3"/>
    <s v="30-39"/>
    <s v="女"/>
    <n v="6091"/>
  </r>
  <r>
    <n v="83876759"/>
    <n v="60"/>
    <x v="3"/>
    <x v="3"/>
    <s v="&gt;=50"/>
    <s v="女"/>
    <n v="19566"/>
  </r>
  <r>
    <n v="88870428"/>
    <n v="46"/>
    <x v="3"/>
    <x v="3"/>
    <s v="40-49"/>
    <s v="女"/>
    <n v="4810"/>
  </r>
  <r>
    <n v="88716215"/>
    <n v="42"/>
    <x v="3"/>
    <x v="2"/>
    <s v="40-49"/>
    <s v="女"/>
    <n v="4523"/>
  </r>
  <r>
    <n v="80291341"/>
    <n v="24"/>
    <x v="0"/>
    <x v="1"/>
    <s v="20-29"/>
    <s v="女"/>
    <n v="3202"/>
  </r>
  <r>
    <n v="86795686"/>
    <n v="34"/>
    <x v="0"/>
    <x v="0"/>
    <s v="30-39"/>
    <s v="女"/>
    <n v="2351"/>
  </r>
  <r>
    <n v="89353229"/>
    <n v="38"/>
    <x v="3"/>
    <x v="0"/>
    <s v="30-39"/>
    <s v="男"/>
    <n v="1702"/>
  </r>
  <r>
    <n v="84184857"/>
    <n v="40"/>
    <x v="0"/>
    <x v="2"/>
    <s v="40-49"/>
    <s v="女"/>
    <n v="18041"/>
  </r>
  <r>
    <n v="85592504"/>
    <n v="26"/>
    <x v="3"/>
    <x v="3"/>
    <s v="20-29"/>
    <s v="女"/>
    <n v="2886"/>
  </r>
  <r>
    <n v="80999477"/>
    <n v="30"/>
    <x v="3"/>
    <x v="3"/>
    <s v="30-39"/>
    <s v="男"/>
    <n v="2097"/>
  </r>
  <r>
    <n v="89689187"/>
    <n v="29"/>
    <x v="3"/>
    <x v="2"/>
    <s v="20-29"/>
    <s v="男"/>
    <n v="11935"/>
  </r>
  <r>
    <n v="86893574"/>
    <n v="29"/>
    <x v="3"/>
    <x v="4"/>
    <s v="20-29"/>
    <s v="女"/>
    <n v="2546"/>
  </r>
  <r>
    <n v="83004534"/>
    <n v="23"/>
    <x v="2"/>
    <x v="0"/>
    <s v="20-29"/>
    <s v="男"/>
    <n v="2564"/>
  </r>
  <r>
    <n v="88633181"/>
    <n v="30"/>
    <x v="0"/>
    <x v="2"/>
    <s v="30-39"/>
    <s v="女"/>
    <n v="8412"/>
  </r>
  <r>
    <n v="85089747"/>
    <n v="57"/>
    <x v="0"/>
    <x v="3"/>
    <s v="&gt;=50"/>
    <s v="男"/>
    <n v="14118"/>
  </r>
  <r>
    <n v="86286827"/>
    <n v="50"/>
    <x v="3"/>
    <x v="2"/>
    <s v="&gt;=50"/>
    <s v="男"/>
    <n v="17046"/>
  </r>
  <r>
    <n v="88659797"/>
    <n v="30"/>
    <x v="3"/>
    <x v="3"/>
    <s v="30-39"/>
    <s v="女"/>
    <n v="2564"/>
  </r>
  <r>
    <n v="88372409"/>
    <n v="60"/>
    <x v="0"/>
    <x v="3"/>
    <s v="&gt;=50"/>
    <s v="女"/>
    <n v="10266"/>
  </r>
  <r>
    <n v="85678770"/>
    <n v="47"/>
    <x v="3"/>
    <x v="0"/>
    <s v="40-49"/>
    <s v="女"/>
    <n v="5070"/>
  </r>
  <r>
    <n v="80287223"/>
    <n v="46"/>
    <x v="3"/>
    <x v="3"/>
    <s v="40-49"/>
    <s v="男"/>
    <n v="17861"/>
  </r>
  <r>
    <n v="86970050"/>
    <n v="35"/>
    <x v="3"/>
    <x v="3"/>
    <s v="30-39"/>
    <s v="男"/>
    <n v="4230"/>
  </r>
  <r>
    <n v="80952248"/>
    <n v="54"/>
    <x v="3"/>
    <x v="2"/>
    <s v="&gt;=50"/>
    <s v="女"/>
    <n v="3780"/>
  </r>
  <r>
    <n v="83716091"/>
    <n v="34"/>
    <x v="3"/>
    <x v="2"/>
    <s v="30-39"/>
    <s v="男"/>
    <n v="2768"/>
  </r>
  <r>
    <n v="85371027"/>
    <n v="46"/>
    <x v="0"/>
    <x v="3"/>
    <s v="40-49"/>
    <s v="女"/>
    <n v="9071"/>
  </r>
  <r>
    <n v="85785060"/>
    <n v="31"/>
    <x v="3"/>
    <x v="1"/>
    <s v="30-39"/>
    <s v="男"/>
    <n v="10648"/>
  </r>
  <r>
    <n v="80424122"/>
    <n v="33"/>
    <x v="3"/>
    <x v="1"/>
    <s v="30-39"/>
    <s v="男"/>
    <n v="13610"/>
  </r>
  <r>
    <n v="87932983"/>
    <n v="33"/>
    <x v="3"/>
    <x v="1"/>
    <s v="30-39"/>
    <s v="男"/>
    <n v="3408"/>
  </r>
  <r>
    <n v="87516382"/>
    <n v="30"/>
    <x v="0"/>
    <x v="1"/>
    <s v="30-39"/>
    <s v="男"/>
    <n v="2983"/>
  </r>
  <r>
    <n v="89203951"/>
    <n v="35"/>
    <x v="3"/>
    <x v="3"/>
    <s v="30-39"/>
    <s v="男"/>
    <n v="7632"/>
  </r>
  <r>
    <n v="83162016"/>
    <n v="31"/>
    <x v="3"/>
    <x v="3"/>
    <s v="30-39"/>
    <s v="男"/>
    <n v="9824"/>
  </r>
  <r>
    <n v="84809307"/>
    <n v="34"/>
    <x v="2"/>
    <x v="3"/>
    <s v="30-39"/>
    <s v="女"/>
    <n v="9950"/>
  </r>
  <r>
    <n v="87747479"/>
    <n v="42"/>
    <x v="3"/>
    <x v="0"/>
    <s v="40-49"/>
    <s v="男"/>
    <n v="2093"/>
  </r>
  <r>
    <n v="80616341"/>
    <n v="36"/>
    <x v="0"/>
    <x v="2"/>
    <s v="30-39"/>
    <s v="男"/>
    <n v="9980"/>
  </r>
  <r>
    <n v="84352463"/>
    <n v="22"/>
    <x v="3"/>
    <x v="1"/>
    <s v="20-29"/>
    <s v="男"/>
    <n v="3894"/>
  </r>
  <r>
    <n v="84906494"/>
    <n v="48"/>
    <x v="0"/>
    <x v="4"/>
    <s v="40-49"/>
    <s v="女"/>
    <n v="4051"/>
  </r>
  <r>
    <n v="88817534"/>
    <n v="55"/>
    <x v="0"/>
    <x v="4"/>
    <s v="&gt;=50"/>
    <s v="女"/>
    <n v="16835"/>
  </r>
  <r>
    <n v="82483257"/>
    <n v="41"/>
    <x v="0"/>
    <x v="0"/>
    <s v="40-49"/>
    <s v="男"/>
    <n v="6230"/>
  </r>
  <r>
    <n v="87810258"/>
    <n v="35"/>
    <x v="0"/>
    <x v="3"/>
    <s v="30-39"/>
    <s v="男"/>
    <n v="4717"/>
  </r>
  <r>
    <n v="84753004"/>
    <n v="40"/>
    <x v="3"/>
    <x v="3"/>
    <s v="40-49"/>
    <s v="女"/>
    <n v="13237"/>
  </r>
  <r>
    <n v="81836521"/>
    <n v="39"/>
    <x v="3"/>
    <x v="1"/>
    <s v="30-39"/>
    <s v="女"/>
    <n v="3755"/>
  </r>
  <r>
    <n v="83123664"/>
    <n v="31"/>
    <x v="0"/>
    <x v="1"/>
    <s v="30-39"/>
    <s v="男"/>
    <n v="6582"/>
  </r>
  <r>
    <n v="80084946"/>
    <n v="42"/>
    <x v="3"/>
    <x v="3"/>
    <s v="40-49"/>
    <s v="男"/>
    <n v="7406"/>
  </r>
  <r>
    <n v="87069035"/>
    <n v="45"/>
    <x v="0"/>
    <x v="3"/>
    <s v="40-49"/>
    <s v="男"/>
    <n v="4805"/>
  </r>
  <r>
    <n v="83534281"/>
    <n v="26"/>
    <x v="2"/>
    <x v="2"/>
    <s v="20-29"/>
    <s v="女"/>
    <n v="2741"/>
  </r>
  <r>
    <n v="87800905"/>
    <n v="29"/>
    <x v="3"/>
    <x v="3"/>
    <s v="20-29"/>
    <s v="男"/>
    <n v="4262"/>
  </r>
  <r>
    <n v="81645205"/>
    <n v="33"/>
    <x v="3"/>
    <x v="4"/>
    <s v="30-39"/>
    <s v="女"/>
    <n v="16184"/>
  </r>
  <r>
    <n v="85574634"/>
    <n v="31"/>
    <x v="0"/>
    <x v="3"/>
    <s v="30-39"/>
    <s v="男"/>
    <n v="11557"/>
  </r>
  <r>
    <n v="88223700"/>
    <n v="24"/>
    <x v="0"/>
    <x v="3"/>
    <s v="20-29"/>
    <s v="男"/>
    <n v="1878"/>
  </r>
  <r>
    <n v="85387011"/>
    <n v="40"/>
    <x v="0"/>
    <x v="3"/>
    <s v="40-49"/>
    <s v="男"/>
    <n v="10932"/>
  </r>
  <r>
    <n v="80014722"/>
    <n v="41"/>
    <x v="3"/>
    <x v="2"/>
    <s v="40-49"/>
    <s v="女"/>
    <n v="6811"/>
  </r>
  <r>
    <n v="81719350"/>
    <n v="26"/>
    <x v="0"/>
    <x v="0"/>
    <s v="20-29"/>
    <s v="男"/>
    <n v="4306"/>
  </r>
  <r>
    <n v="86504839"/>
    <n v="35"/>
    <x v="0"/>
    <x v="3"/>
    <s v="30-39"/>
    <s v="女"/>
    <n v="4859"/>
  </r>
  <r>
    <n v="85469393"/>
    <n v="34"/>
    <x v="0"/>
    <x v="2"/>
    <s v="30-39"/>
    <s v="男"/>
    <n v="5337"/>
  </r>
  <r>
    <n v="87850717"/>
    <n v="26"/>
    <x v="3"/>
    <x v="3"/>
    <s v="20-29"/>
    <s v="男"/>
    <n v="2340"/>
  </r>
  <r>
    <n v="84437230"/>
    <n v="37"/>
    <x v="3"/>
    <x v="3"/>
    <s v="30-39"/>
    <s v="女"/>
    <n v="7491"/>
  </r>
  <r>
    <n v="80105552"/>
    <n v="46"/>
    <x v="3"/>
    <x v="1"/>
    <s v="40-49"/>
    <s v="女"/>
    <n v="10527"/>
  </r>
  <r>
    <n v="81384914"/>
    <n v="41"/>
    <x v="0"/>
    <x v="4"/>
    <s v="40-49"/>
    <s v="女"/>
    <n v="16595"/>
  </r>
  <r>
    <n v="86431519"/>
    <n v="37"/>
    <x v="0"/>
    <x v="2"/>
    <s v="30-39"/>
    <s v="男"/>
    <n v="8834"/>
  </r>
  <r>
    <n v="80342192"/>
    <n v="52"/>
    <x v="3"/>
    <x v="0"/>
    <s v="&gt;=50"/>
    <s v="男"/>
    <n v="5577"/>
  </r>
  <r>
    <n v="87700018"/>
    <n v="32"/>
    <x v="0"/>
    <x v="2"/>
    <s v="30-39"/>
    <s v="男"/>
    <n v="4707"/>
  </r>
  <r>
    <n v="85271359"/>
    <n v="24"/>
    <x v="0"/>
    <x v="3"/>
    <s v="20-29"/>
    <s v="男"/>
    <n v="2400"/>
  </r>
  <r>
    <n v="81144675"/>
    <n v="38"/>
    <x v="3"/>
    <x v="3"/>
    <s v="30-39"/>
    <s v="女"/>
    <n v="9824"/>
  </r>
  <r>
    <n v="82247515"/>
    <n v="37"/>
    <x v="3"/>
    <x v="2"/>
    <s v="30-39"/>
    <s v="女"/>
    <n v="6447"/>
  </r>
  <r>
    <n v="81607550"/>
    <n v="49"/>
    <x v="3"/>
    <x v="2"/>
    <s v="40-49"/>
    <s v="男"/>
    <n v="19502"/>
  </r>
  <r>
    <n v="82860823"/>
    <n v="24"/>
    <x v="3"/>
    <x v="3"/>
    <s v="20-29"/>
    <s v="男"/>
    <n v="2725"/>
  </r>
  <r>
    <n v="81781442"/>
    <n v="26"/>
    <x v="0"/>
    <x v="0"/>
    <s v="20-29"/>
    <s v="男"/>
    <n v="6272"/>
  </r>
  <r>
    <n v="80344533"/>
    <n v="24"/>
    <x v="3"/>
    <x v="0"/>
    <s v="20-29"/>
    <s v="男"/>
    <n v="2127"/>
  </r>
  <r>
    <n v="83596463"/>
    <n v="50"/>
    <x v="2"/>
    <x v="3"/>
    <s v="&gt;=50"/>
    <s v="男"/>
    <n v="18200"/>
  </r>
  <r>
    <n v="80571061"/>
    <n v="25"/>
    <x v="0"/>
    <x v="1"/>
    <s v="20-29"/>
    <s v="男"/>
    <n v="2096"/>
  </r>
  <r>
    <n v="88838701"/>
    <n v="24"/>
    <x v="3"/>
    <x v="3"/>
    <s v="20-29"/>
    <s v="女"/>
    <n v="2886"/>
  </r>
  <r>
    <n v="82348701"/>
    <n v="30"/>
    <x v="0"/>
    <x v="2"/>
    <s v="30-39"/>
    <s v="男"/>
    <n v="2033"/>
  </r>
  <r>
    <n v="86685337"/>
    <n v="34"/>
    <x v="3"/>
    <x v="0"/>
    <s v="30-39"/>
    <s v="男"/>
    <n v="3622"/>
  </r>
  <r>
    <n v="83582825"/>
    <n v="31"/>
    <x v="0"/>
    <x v="2"/>
    <s v="30-39"/>
    <s v="男"/>
    <n v="4233"/>
  </r>
  <r>
    <n v="84725551"/>
    <n v="35"/>
    <x v="3"/>
    <x v="0"/>
    <s v="30-39"/>
    <s v="男"/>
    <n v="3681"/>
  </r>
  <r>
    <n v="83617014"/>
    <n v="31"/>
    <x v="0"/>
    <x v="2"/>
    <s v="30-39"/>
    <s v="男"/>
    <n v="5460"/>
  </r>
  <r>
    <n v="84451487"/>
    <n v="27"/>
    <x v="3"/>
    <x v="2"/>
    <s v="20-29"/>
    <s v="女"/>
    <n v="2187"/>
  </r>
  <r>
    <n v="87652250"/>
    <n v="37"/>
    <x v="0"/>
    <x v="3"/>
    <s v="30-39"/>
    <s v="男"/>
    <n v="9602"/>
  </r>
  <r>
    <n v="83185201"/>
    <n v="20"/>
    <x v="3"/>
    <x v="3"/>
    <s v="20-29"/>
    <s v="女"/>
    <n v="2836"/>
  </r>
  <r>
    <n v="85787572"/>
    <n v="42"/>
    <x v="3"/>
    <x v="2"/>
    <s v="40-49"/>
    <s v="女"/>
    <n v="4089"/>
  </r>
  <r>
    <n v="83179116"/>
    <n v="43"/>
    <x v="3"/>
    <x v="2"/>
    <s v="40-49"/>
    <s v="男"/>
    <n v="16627"/>
  </r>
  <r>
    <n v="84505184"/>
    <n v="38"/>
    <x v="3"/>
    <x v="1"/>
    <s v="30-39"/>
    <s v="女"/>
    <n v="2619"/>
  </r>
  <r>
    <n v="80128086"/>
    <n v="43"/>
    <x v="3"/>
    <x v="4"/>
    <s v="40-49"/>
    <s v="男"/>
    <n v="5679"/>
  </r>
  <r>
    <n v="81649262"/>
    <n v="48"/>
    <x v="3"/>
    <x v="2"/>
    <s v="40-49"/>
    <s v="女"/>
    <n v="15402"/>
  </r>
  <r>
    <n v="85167564"/>
    <n v="44"/>
    <x v="2"/>
    <x v="2"/>
    <s v="40-49"/>
    <s v="女"/>
    <n v="5985"/>
  </r>
  <r>
    <n v="80531543"/>
    <n v="34"/>
    <x v="0"/>
    <x v="3"/>
    <s v="30-39"/>
    <s v="女"/>
    <n v="2579"/>
  </r>
  <r>
    <n v="81120486"/>
    <n v="27"/>
    <x v="0"/>
    <x v="1"/>
    <s v="20-29"/>
    <s v="男"/>
    <n v="3041"/>
  </r>
  <r>
    <n v="81588575"/>
    <n v="21"/>
    <x v="0"/>
    <x v="1"/>
    <s v="20-29"/>
    <s v="男"/>
    <n v="3447"/>
  </r>
  <r>
    <n v="88359327"/>
    <n v="44"/>
    <x v="3"/>
    <x v="2"/>
    <s v="40-49"/>
    <s v="男"/>
    <n v="19513"/>
  </r>
  <r>
    <n v="86160254"/>
    <n v="22"/>
    <x v="3"/>
    <x v="1"/>
    <s v="20-29"/>
    <s v="男"/>
    <n v="2773"/>
  </r>
  <r>
    <n v="83071123"/>
    <n v="33"/>
    <x v="0"/>
    <x v="2"/>
    <s v="30-39"/>
    <s v="男"/>
    <n v="7104"/>
  </r>
  <r>
    <n v="84015350"/>
    <n v="32"/>
    <x v="3"/>
    <x v="2"/>
    <s v="30-39"/>
    <s v="女"/>
    <n v="6322"/>
  </r>
  <r>
    <n v="88886991"/>
    <n v="30"/>
    <x v="3"/>
    <x v="3"/>
    <s v="30-39"/>
    <s v="女"/>
    <n v="2083"/>
  </r>
  <r>
    <n v="85428883"/>
    <n v="53"/>
    <x v="0"/>
    <x v="1"/>
    <s v="&gt;=50"/>
    <s v="女"/>
    <n v="8381"/>
  </r>
  <r>
    <n v="84465674"/>
    <n v="34"/>
    <x v="3"/>
    <x v="4"/>
    <s v="30-39"/>
    <s v="男"/>
    <n v="2691"/>
  </r>
  <r>
    <n v="83810014"/>
    <n v="45"/>
    <x v="0"/>
    <x v="2"/>
    <s v="40-49"/>
    <s v="女"/>
    <n v="4286"/>
  </r>
  <r>
    <n v="83698470"/>
    <n v="26"/>
    <x v="3"/>
    <x v="3"/>
    <s v="20-29"/>
    <s v="女"/>
    <n v="2659"/>
  </r>
  <r>
    <n v="81886398"/>
    <n v="37"/>
    <x v="3"/>
    <x v="3"/>
    <s v="30-39"/>
    <s v="男"/>
    <n v="9434"/>
  </r>
  <r>
    <n v="81214583"/>
    <n v="29"/>
    <x v="0"/>
    <x v="0"/>
    <s v="20-29"/>
    <s v="女"/>
    <n v="5561"/>
  </r>
  <r>
    <n v="80521468"/>
    <n v="35"/>
    <x v="3"/>
    <x v="2"/>
    <s v="30-39"/>
    <s v="男"/>
    <n v="6646"/>
  </r>
  <r>
    <n v="88860073"/>
    <n v="33"/>
    <x v="3"/>
    <x v="3"/>
    <s v="30-39"/>
    <s v="男"/>
    <n v="7725"/>
  </r>
  <r>
    <n v="84144842"/>
    <n v="54"/>
    <x v="2"/>
    <x v="2"/>
    <s v="&gt;=50"/>
    <s v="男"/>
    <n v="10725"/>
  </r>
  <r>
    <n v="83524938"/>
    <n v="36"/>
    <x v="3"/>
    <x v="0"/>
    <s v="30-39"/>
    <s v="男"/>
    <n v="8847"/>
  </r>
  <r>
    <n v="85656757"/>
    <n v="27"/>
    <x v="3"/>
    <x v="2"/>
    <s v="20-29"/>
    <s v="男"/>
    <n v="2045"/>
  </r>
  <r>
    <n v="89765452"/>
    <n v="20"/>
    <x v="3"/>
    <x v="1"/>
    <s v="20-29"/>
    <s v="男"/>
    <n v="1009"/>
  </r>
  <r>
    <n v="86792499"/>
    <n v="33"/>
    <x v="3"/>
    <x v="3"/>
    <s v="30-39"/>
    <s v="男"/>
    <n v="3348"/>
  </r>
  <r>
    <n v="86875744"/>
    <n v="35"/>
    <x v="3"/>
    <x v="3"/>
    <s v="30-39"/>
    <s v="男"/>
    <n v="1281"/>
  </r>
  <r>
    <n v="88684130"/>
    <n v="23"/>
    <x v="3"/>
    <x v="3"/>
    <s v="20-29"/>
    <s v="男"/>
    <n v="2819"/>
  </r>
  <r>
    <n v="86833790"/>
    <n v="25"/>
    <x v="0"/>
    <x v="3"/>
    <s v="20-29"/>
    <s v="男"/>
    <n v="4851"/>
  </r>
  <r>
    <n v="84580482"/>
    <n v="38"/>
    <x v="0"/>
    <x v="2"/>
    <s v="30-39"/>
    <s v="女"/>
    <n v="4028"/>
  </r>
  <r>
    <n v="89076348"/>
    <n v="29"/>
    <x v="3"/>
    <x v="2"/>
    <s v="20-29"/>
    <s v="男"/>
    <n v="2720"/>
  </r>
  <r>
    <n v="82581839"/>
    <n v="48"/>
    <x v="0"/>
    <x v="1"/>
    <s v="40-49"/>
    <s v="男"/>
    <n v="8120"/>
  </r>
  <r>
    <n v="87058808"/>
    <n v="27"/>
    <x v="0"/>
    <x v="1"/>
    <s v="20-29"/>
    <s v="女"/>
    <n v="4647"/>
  </r>
  <r>
    <n v="86638900"/>
    <n v="37"/>
    <x v="3"/>
    <x v="0"/>
    <s v="30-39"/>
    <s v="男"/>
    <n v="4680"/>
  </r>
  <r>
    <n v="82176249"/>
    <n v="50"/>
    <x v="3"/>
    <x v="1"/>
    <s v="&gt;=50"/>
    <s v="男"/>
    <n v="3221"/>
  </r>
  <r>
    <n v="84948718"/>
    <n v="34"/>
    <x v="3"/>
    <x v="3"/>
    <s v="30-39"/>
    <s v="女"/>
    <n v="8621"/>
  </r>
  <r>
    <n v="84501165"/>
    <n v="24"/>
    <x v="0"/>
    <x v="0"/>
    <s v="20-29"/>
    <s v="女"/>
    <n v="4577"/>
  </r>
  <r>
    <n v="82230676"/>
    <n v="39"/>
    <x v="3"/>
    <x v="2"/>
    <s v="30-39"/>
    <s v="女"/>
    <n v="4553"/>
  </r>
  <r>
    <n v="81193932"/>
    <n v="32"/>
    <x v="0"/>
    <x v="3"/>
    <s v="30-39"/>
    <s v="男"/>
    <n v="5396"/>
  </r>
  <r>
    <n v="86632344"/>
    <n v="50"/>
    <x v="0"/>
    <x v="0"/>
    <s v="&gt;=50"/>
    <s v="男"/>
    <n v="6796"/>
  </r>
  <r>
    <n v="81488897"/>
    <n v="38"/>
    <x v="3"/>
    <x v="2"/>
    <s v="30-39"/>
    <s v="女"/>
    <n v="7625"/>
  </r>
  <r>
    <n v="82944216"/>
    <n v="27"/>
    <x v="3"/>
    <x v="0"/>
    <s v="20-29"/>
    <s v="女"/>
    <n v="7412"/>
  </r>
  <r>
    <n v="89864711"/>
    <n v="32"/>
    <x v="3"/>
    <x v="0"/>
    <s v="30-39"/>
    <s v="女"/>
    <n v="11159"/>
  </r>
  <r>
    <n v="81355596"/>
    <n v="47"/>
    <x v="0"/>
    <x v="2"/>
    <s v="40-49"/>
    <s v="男"/>
    <n v="4960"/>
  </r>
  <r>
    <n v="84525721"/>
    <n v="40"/>
    <x v="0"/>
    <x v="2"/>
    <s v="40-49"/>
    <s v="男"/>
    <n v="10475"/>
  </r>
  <r>
    <n v="81652544"/>
    <n v="53"/>
    <x v="3"/>
    <x v="3"/>
    <s v="&gt;=50"/>
    <s v="男"/>
    <n v="14814"/>
  </r>
  <r>
    <n v="84177733"/>
    <n v="41"/>
    <x v="2"/>
    <x v="2"/>
    <s v="40-49"/>
    <s v="男"/>
    <n v="19141"/>
  </r>
  <r>
    <n v="83858135"/>
    <n v="60"/>
    <x v="0"/>
    <x v="2"/>
    <s v="&gt;=50"/>
    <s v="男"/>
    <n v="5405"/>
  </r>
  <r>
    <n v="80700103"/>
    <n v="27"/>
    <x v="3"/>
    <x v="0"/>
    <s v="20-29"/>
    <s v="男"/>
    <n v="8793"/>
  </r>
  <r>
    <n v="87590575"/>
    <n v="41"/>
    <x v="2"/>
    <x v="3"/>
    <s v="40-49"/>
    <s v="男"/>
    <n v="19189"/>
  </r>
  <r>
    <n v="84549791"/>
    <n v="50"/>
    <x v="0"/>
    <x v="2"/>
    <s v="&gt;=50"/>
    <s v="男"/>
    <n v="3875"/>
  </r>
  <r>
    <n v="87166404"/>
    <n v="28"/>
    <x v="3"/>
    <x v="0"/>
    <s v="20-29"/>
    <s v="女"/>
    <n v="2216"/>
  </r>
  <r>
    <n v="88858273"/>
    <n v="36"/>
    <x v="3"/>
    <x v="3"/>
    <s v="30-39"/>
    <s v="女"/>
    <n v="11713"/>
  </r>
  <r>
    <n v="81701761"/>
    <n v="38"/>
    <x v="3"/>
    <x v="3"/>
    <s v="30-39"/>
    <s v="女"/>
    <n v="7861"/>
  </r>
  <r>
    <n v="83940347"/>
    <n v="44"/>
    <x v="3"/>
    <x v="3"/>
    <s v="40-49"/>
    <s v="男"/>
    <n v="3708"/>
  </r>
  <r>
    <n v="80823394"/>
    <n v="47"/>
    <x v="0"/>
    <x v="3"/>
    <s v="40-49"/>
    <s v="女"/>
    <n v="13770"/>
  </r>
  <r>
    <n v="86946227"/>
    <n v="30"/>
    <x v="0"/>
    <x v="4"/>
    <s v="30-39"/>
    <s v="男"/>
    <n v="5304"/>
  </r>
  <r>
    <n v="88361575"/>
    <n v="29"/>
    <x v="0"/>
    <x v="3"/>
    <s v="20-29"/>
    <s v="男"/>
    <n v="2642"/>
  </r>
  <r>
    <n v="82775395"/>
    <n v="42"/>
    <x v="3"/>
    <x v="3"/>
    <s v="40-49"/>
    <s v="男"/>
    <n v="2759"/>
  </r>
  <r>
    <n v="80623967"/>
    <n v="43"/>
    <x v="0"/>
    <x v="3"/>
    <s v="40-49"/>
    <s v="男"/>
    <n v="6804"/>
  </r>
  <r>
    <n v="80878435"/>
    <n v="34"/>
    <x v="3"/>
    <x v="0"/>
    <s v="30-39"/>
    <s v="女"/>
    <n v="6142"/>
  </r>
  <r>
    <n v="84045922"/>
    <n v="23"/>
    <x v="3"/>
    <x v="1"/>
    <s v="20-29"/>
    <s v="男"/>
    <n v="2500"/>
  </r>
  <r>
    <n v="83176133"/>
    <n v="39"/>
    <x v="2"/>
    <x v="3"/>
    <s v="30-39"/>
    <s v="女"/>
    <n v="6389"/>
  </r>
  <r>
    <n v="85959516"/>
    <n v="56"/>
    <x v="3"/>
    <x v="3"/>
    <s v="&gt;=50"/>
    <s v="男"/>
    <n v="11103"/>
  </r>
  <r>
    <n v="87814288"/>
    <n v="40"/>
    <x v="3"/>
    <x v="1"/>
    <s v="40-49"/>
    <s v="女"/>
    <n v="2342"/>
  </r>
  <r>
    <n v="85582955"/>
    <n v="27"/>
    <x v="3"/>
    <x v="3"/>
    <s v="20-29"/>
    <s v="女"/>
    <n v="6811"/>
  </r>
  <r>
    <n v="82900382"/>
    <n v="29"/>
    <x v="0"/>
    <x v="3"/>
    <s v="20-29"/>
    <s v="男"/>
    <n v="2297"/>
  </r>
  <r>
    <n v="80588117"/>
    <n v="53"/>
    <x v="3"/>
    <x v="3"/>
    <s v="&gt;=50"/>
    <s v="男"/>
    <n v="2450"/>
  </r>
  <r>
    <n v="82605526"/>
    <n v="35"/>
    <x v="3"/>
    <x v="2"/>
    <s v="30-39"/>
    <s v="女"/>
    <n v="5093"/>
  </r>
  <r>
    <n v="89422720"/>
    <n v="32"/>
    <x v="3"/>
    <x v="2"/>
    <s v="30-39"/>
    <s v="男"/>
    <n v="5309"/>
  </r>
  <r>
    <n v="83478019"/>
    <n v="38"/>
    <x v="3"/>
    <x v="4"/>
    <s v="30-39"/>
    <s v="男"/>
    <n v="3057"/>
  </r>
  <r>
    <n v="86011441"/>
    <n v="34"/>
    <x v="3"/>
    <x v="4"/>
    <s v="30-39"/>
    <s v="女"/>
    <n v="5121"/>
  </r>
  <r>
    <n v="87750088"/>
    <n v="52"/>
    <x v="0"/>
    <x v="2"/>
    <s v="&gt;=50"/>
    <s v="男"/>
    <n v="16856"/>
  </r>
  <r>
    <n v="89291481"/>
    <n v="33"/>
    <x v="3"/>
    <x v="2"/>
    <s v="30-39"/>
    <s v="男"/>
    <n v="2686"/>
  </r>
  <r>
    <n v="83897791"/>
    <n v="25"/>
    <x v="0"/>
    <x v="1"/>
    <s v="20-29"/>
    <s v="女"/>
    <n v="6180"/>
  </r>
  <r>
    <n v="81029964"/>
    <n v="45"/>
    <x v="0"/>
    <x v="0"/>
    <s v="40-49"/>
    <s v="男"/>
    <n v="6632"/>
  </r>
  <r>
    <n v="83085646"/>
    <n v="23"/>
    <x v="3"/>
    <x v="1"/>
    <s v="20-29"/>
    <s v="男"/>
    <n v="3505"/>
  </r>
  <r>
    <n v="87029334"/>
    <n v="47"/>
    <x v="0"/>
    <x v="0"/>
    <s v="40-49"/>
    <s v="女"/>
    <n v="6397"/>
  </r>
  <r>
    <n v="84450115"/>
    <n v="34"/>
    <x v="0"/>
    <x v="3"/>
    <s v="30-39"/>
    <s v="男"/>
    <n v="6274"/>
  </r>
  <r>
    <n v="85911696"/>
    <n v="55"/>
    <x v="3"/>
    <x v="3"/>
    <s v="&gt;=50"/>
    <s v="男"/>
    <n v="19859"/>
  </r>
  <r>
    <n v="85170255"/>
    <n v="36"/>
    <x v="0"/>
    <x v="2"/>
    <s v="30-39"/>
    <s v="男"/>
    <n v="7587"/>
  </r>
  <r>
    <n v="83142612"/>
    <n v="52"/>
    <x v="3"/>
    <x v="2"/>
    <s v="&gt;=50"/>
    <s v="男"/>
    <n v="4258"/>
  </r>
  <r>
    <n v="81603772"/>
    <n v="26"/>
    <x v="3"/>
    <x v="0"/>
    <s v="20-29"/>
    <s v="女"/>
    <n v="4364"/>
  </r>
  <r>
    <n v="85905617"/>
    <n v="29"/>
    <x v="3"/>
    <x v="3"/>
    <s v="20-29"/>
    <s v="女"/>
    <n v="4335"/>
  </r>
  <r>
    <n v="82951174"/>
    <n v="26"/>
    <x v="0"/>
    <x v="3"/>
    <s v="20-29"/>
    <s v="男"/>
    <n v="5326"/>
  </r>
  <r>
    <n v="89084187"/>
    <n v="34"/>
    <x v="3"/>
    <x v="2"/>
    <s v="30-39"/>
    <s v="女"/>
    <n v="3280"/>
  </r>
  <r>
    <n v="88807359"/>
    <n v="54"/>
    <x v="3"/>
    <x v="2"/>
    <s v="&gt;=50"/>
    <s v="女"/>
    <n v="5485"/>
  </r>
  <r>
    <n v="83380643"/>
    <n v="27"/>
    <x v="0"/>
    <x v="1"/>
    <s v="20-29"/>
    <s v="男"/>
    <n v="4342"/>
  </r>
  <r>
    <n v="87167397"/>
    <n v="37"/>
    <x v="3"/>
    <x v="1"/>
    <s v="30-39"/>
    <s v="女"/>
    <n v="2782"/>
  </r>
  <r>
    <n v="83112908"/>
    <n v="38"/>
    <x v="3"/>
    <x v="2"/>
    <s v="30-39"/>
    <s v="女"/>
    <n v="5980"/>
  </r>
  <r>
    <n v="84235448"/>
    <n v="34"/>
    <x v="3"/>
    <x v="2"/>
    <s v="30-39"/>
    <s v="女"/>
    <n v="4381"/>
  </r>
  <r>
    <n v="82573956"/>
    <n v="35"/>
    <x v="0"/>
    <x v="2"/>
    <s v="30-39"/>
    <s v="女"/>
    <n v="2572"/>
  </r>
  <r>
    <n v="81266807"/>
    <n v="30"/>
    <x v="3"/>
    <x v="3"/>
    <s v="30-39"/>
    <s v="男"/>
    <n v="3833"/>
  </r>
  <r>
    <n v="89163119"/>
    <n v="40"/>
    <x v="3"/>
    <x v="0"/>
    <s v="40-49"/>
    <s v="女"/>
    <n v="4244"/>
  </r>
  <r>
    <n v="89918858"/>
    <n v="34"/>
    <x v="0"/>
    <x v="0"/>
    <s v="30-39"/>
    <s v="女"/>
    <n v="6500"/>
  </r>
  <r>
    <n v="87507692"/>
    <n v="42"/>
    <x v="3"/>
    <x v="3"/>
    <s v="40-49"/>
    <s v="男"/>
    <n v="18430"/>
  </r>
  <r>
    <n v="89838229"/>
    <n v="23"/>
    <x v="3"/>
    <x v="3"/>
    <s v="20-29"/>
    <s v="男"/>
    <n v="1601"/>
  </r>
  <r>
    <n v="82245065"/>
    <n v="24"/>
    <x v="3"/>
    <x v="3"/>
    <s v="20-29"/>
    <s v="男"/>
    <n v="2694"/>
  </r>
  <r>
    <n v="84660088"/>
    <n v="52"/>
    <x v="3"/>
    <x v="2"/>
    <s v="&gt;=50"/>
    <s v="女"/>
    <n v="3149"/>
  </r>
  <r>
    <n v="81775943"/>
    <n v="50"/>
    <x v="3"/>
    <x v="3"/>
    <s v="&gt;=50"/>
    <s v="男"/>
    <n v="17639"/>
  </r>
  <r>
    <n v="82544016"/>
    <n v="29"/>
    <x v="3"/>
    <x v="0"/>
    <s v="20-29"/>
    <s v="女"/>
    <n v="2319"/>
  </r>
  <r>
    <n v="85949960"/>
    <n v="33"/>
    <x v="3"/>
    <x v="3"/>
    <s v="30-39"/>
    <s v="男"/>
    <n v="11691"/>
  </r>
  <r>
    <n v="87042062"/>
    <n v="33"/>
    <x v="0"/>
    <x v="3"/>
    <s v="30-39"/>
    <s v="女"/>
    <n v="5324"/>
  </r>
  <r>
    <n v="86214656"/>
    <n v="47"/>
    <x v="3"/>
    <x v="0"/>
    <s v="40-49"/>
    <s v="女"/>
    <n v="16752"/>
  </r>
  <r>
    <n v="86455848"/>
    <n v="36"/>
    <x v="3"/>
    <x v="3"/>
    <s v="30-39"/>
    <s v="女"/>
    <n v="5228"/>
  </r>
  <r>
    <n v="82429021"/>
    <n v="29"/>
    <x v="3"/>
    <x v="0"/>
    <s v="20-29"/>
    <s v="男"/>
    <n v="2700"/>
  </r>
  <r>
    <n v="83969799"/>
    <n v="58"/>
    <x v="3"/>
    <x v="2"/>
    <s v="&gt;=50"/>
    <s v="男"/>
    <n v="19246"/>
  </r>
  <r>
    <n v="83049488"/>
    <n v="35"/>
    <x v="3"/>
    <x v="2"/>
    <s v="30-39"/>
    <s v="女"/>
    <n v="2506"/>
  </r>
  <r>
    <n v="87893594"/>
    <n v="42"/>
    <x v="3"/>
    <x v="0"/>
    <s v="40-49"/>
    <s v="女"/>
    <n v="6062"/>
  </r>
  <r>
    <n v="88557456"/>
    <n v="28"/>
    <x v="3"/>
    <x v="2"/>
    <s v="20-29"/>
    <s v="男"/>
    <n v="4382"/>
  </r>
  <r>
    <n v="89504754"/>
    <n v="36"/>
    <x v="2"/>
    <x v="3"/>
    <s v="30-39"/>
    <s v="男"/>
    <n v="2143"/>
  </r>
  <r>
    <n v="88578647"/>
    <n v="32"/>
    <x v="3"/>
    <x v="3"/>
    <s v="30-39"/>
    <s v="女"/>
    <n v="6162"/>
  </r>
  <r>
    <n v="89487221"/>
    <n v="40"/>
    <x v="3"/>
    <x v="2"/>
    <s v="40-49"/>
    <s v="男"/>
    <n v="5094"/>
  </r>
  <r>
    <n v="85183526"/>
    <n v="30"/>
    <x v="3"/>
    <x v="3"/>
    <s v="30-39"/>
    <s v="女"/>
    <n v="6877"/>
  </r>
  <r>
    <n v="84966447"/>
    <n v="45"/>
    <x v="3"/>
    <x v="3"/>
    <s v="40-49"/>
    <s v="女"/>
    <n v="2274"/>
  </r>
  <r>
    <n v="85727057"/>
    <n v="42"/>
    <x v="3"/>
    <x v="3"/>
    <s v="40-49"/>
    <s v="男"/>
    <n v="4434"/>
  </r>
  <r>
    <n v="82348054"/>
    <n v="38"/>
    <x v="3"/>
    <x v="3"/>
    <s v="30-39"/>
    <s v="男"/>
    <n v="6288"/>
  </r>
  <r>
    <n v="89148317"/>
    <n v="34"/>
    <x v="3"/>
    <x v="2"/>
    <s v="30-39"/>
    <s v="女"/>
    <n v="2553"/>
  </r>
  <r>
    <n v="83034526"/>
    <n v="49"/>
    <x v="0"/>
    <x v="3"/>
    <s v="40-49"/>
    <s v="女"/>
    <n v="7654"/>
  </r>
  <r>
    <n v="80950472"/>
    <n v="55"/>
    <x v="0"/>
    <x v="1"/>
    <s v="&gt;=50"/>
    <s v="男"/>
    <n v="5160"/>
  </r>
  <r>
    <n v="89897270"/>
    <n v="43"/>
    <x v="3"/>
    <x v="0"/>
    <s v="40-49"/>
    <s v="男"/>
    <n v="17159"/>
  </r>
  <r>
    <n v="83268714"/>
    <n v="27"/>
    <x v="3"/>
    <x v="1"/>
    <s v="20-29"/>
    <s v="男"/>
    <n v="12808"/>
  </r>
  <r>
    <n v="89817675"/>
    <n v="35"/>
    <x v="3"/>
    <x v="3"/>
    <s v="30-39"/>
    <s v="男"/>
    <n v="10221"/>
  </r>
  <r>
    <n v="84276347"/>
    <n v="28"/>
    <x v="0"/>
    <x v="2"/>
    <s v="20-29"/>
    <s v="女"/>
    <n v="4779"/>
  </r>
  <r>
    <n v="88806861"/>
    <n v="34"/>
    <x v="2"/>
    <x v="0"/>
    <s v="30-39"/>
    <s v="男"/>
    <n v="3737"/>
  </r>
  <r>
    <n v="84416782"/>
    <n v="26"/>
    <x v="3"/>
    <x v="0"/>
    <s v="20-29"/>
    <s v="女"/>
    <n v="2366"/>
  </r>
  <r>
    <n v="85140843"/>
    <n v="27"/>
    <x v="3"/>
    <x v="3"/>
    <s v="20-29"/>
    <s v="男"/>
    <n v="1706"/>
  </r>
  <r>
    <n v="80997654"/>
    <n v="51"/>
    <x v="0"/>
    <x v="2"/>
    <s v="&gt;=50"/>
    <s v="女"/>
    <n v="16307"/>
  </r>
  <r>
    <n v="80357606"/>
    <n v="44"/>
    <x v="3"/>
    <x v="3"/>
    <s v="40-49"/>
    <s v="男"/>
    <n v="5933"/>
  </r>
  <r>
    <n v="88725339"/>
    <n v="25"/>
    <x v="3"/>
    <x v="1"/>
    <s v="20-29"/>
    <s v="男"/>
    <n v="3424"/>
  </r>
  <r>
    <n v="85167777"/>
    <n v="33"/>
    <x v="0"/>
    <x v="3"/>
    <s v="30-39"/>
    <s v="男"/>
    <n v="4037"/>
  </r>
  <r>
    <n v="87973383"/>
    <n v="35"/>
    <x v="3"/>
    <x v="1"/>
    <s v="30-39"/>
    <s v="女"/>
    <n v="2559"/>
  </r>
  <r>
    <n v="87992563"/>
    <n v="36"/>
    <x v="0"/>
    <x v="0"/>
    <s v="30-39"/>
    <s v="男"/>
    <n v="6201"/>
  </r>
  <r>
    <n v="84575945"/>
    <n v="32"/>
    <x v="0"/>
    <x v="2"/>
    <s v="30-39"/>
    <s v="男"/>
    <n v="4403"/>
  </r>
  <r>
    <n v="81647651"/>
    <n v="30"/>
    <x v="3"/>
    <x v="2"/>
    <s v="30-39"/>
    <s v="男"/>
    <n v="3761"/>
  </r>
  <r>
    <n v="80003802"/>
    <n v="53"/>
    <x v="0"/>
    <x v="0"/>
    <s v="&gt;=50"/>
    <s v="女"/>
    <n v="10934"/>
  </r>
  <r>
    <n v="85836769"/>
    <n v="45"/>
    <x v="0"/>
    <x v="3"/>
    <s v="40-49"/>
    <s v="男"/>
    <n v="10761"/>
  </r>
  <r>
    <n v="85127230"/>
    <n v="32"/>
    <x v="3"/>
    <x v="0"/>
    <s v="30-39"/>
    <s v="女"/>
    <n v="5175"/>
  </r>
  <r>
    <n v="83214094"/>
    <n v="52"/>
    <x v="3"/>
    <x v="2"/>
    <s v="&gt;=50"/>
    <s v="女"/>
    <n v="13826"/>
  </r>
  <r>
    <n v="85444203"/>
    <n v="37"/>
    <x v="0"/>
    <x v="2"/>
    <s v="30-39"/>
    <s v="男"/>
    <n v="6334"/>
  </r>
  <r>
    <n v="81494460"/>
    <n v="28"/>
    <x v="2"/>
    <x v="0"/>
    <s v="20-29"/>
    <s v="男"/>
    <n v="4936"/>
  </r>
  <r>
    <n v="83738231"/>
    <n v="22"/>
    <x v="3"/>
    <x v="0"/>
    <s v="20-29"/>
    <s v="男"/>
    <n v="4775"/>
  </r>
  <r>
    <n v="89303530"/>
    <n v="44"/>
    <x v="3"/>
    <x v="2"/>
    <s v="40-49"/>
    <s v="男"/>
    <n v="2818"/>
  </r>
  <r>
    <n v="81202538"/>
    <n v="42"/>
    <x v="3"/>
    <x v="1"/>
    <s v="40-49"/>
    <s v="男"/>
    <n v="2515"/>
  </r>
  <r>
    <n v="80344039"/>
    <n v="36"/>
    <x v="2"/>
    <x v="3"/>
    <s v="30-39"/>
    <s v="男"/>
    <n v="2342"/>
  </r>
  <r>
    <n v="86759760"/>
    <n v="25"/>
    <x v="0"/>
    <x v="1"/>
    <s v="20-29"/>
    <s v="男"/>
    <n v="4194"/>
  </r>
  <r>
    <n v="84274047"/>
    <n v="35"/>
    <x v="3"/>
    <x v="3"/>
    <s v="30-39"/>
    <s v="女"/>
    <n v="10685"/>
  </r>
  <r>
    <n v="84793731"/>
    <n v="35"/>
    <x v="3"/>
    <x v="2"/>
    <s v="30-39"/>
    <s v="女"/>
    <n v="2022"/>
  </r>
  <r>
    <n v="84398609"/>
    <n v="32"/>
    <x v="3"/>
    <x v="3"/>
    <s v="30-39"/>
    <s v="男"/>
    <n v="2314"/>
  </r>
  <r>
    <n v="87145845"/>
    <n v="25"/>
    <x v="0"/>
    <x v="1"/>
    <s v="20-29"/>
    <s v="男"/>
    <n v="4256"/>
  </r>
  <r>
    <n v="81422194"/>
    <n v="49"/>
    <x v="3"/>
    <x v="3"/>
    <s v="40-49"/>
    <s v="女"/>
    <n v="3580"/>
  </r>
  <r>
    <n v="89621570"/>
    <n v="24"/>
    <x v="3"/>
    <x v="1"/>
    <s v="20-29"/>
    <s v="男"/>
    <n v="3162"/>
  </r>
  <r>
    <n v="89589228"/>
    <n v="32"/>
    <x v="0"/>
    <x v="0"/>
    <s v="30-39"/>
    <s v="男"/>
    <n v="6524"/>
  </r>
  <r>
    <n v="86599950"/>
    <n v="38"/>
    <x v="0"/>
    <x v="3"/>
    <s v="30-39"/>
    <s v="男"/>
    <n v="2899"/>
  </r>
  <r>
    <n v="86440309"/>
    <n v="42"/>
    <x v="3"/>
    <x v="3"/>
    <s v="40-49"/>
    <s v="女"/>
    <n v="5231"/>
  </r>
  <r>
    <n v="87966499"/>
    <n v="31"/>
    <x v="3"/>
    <x v="2"/>
    <s v="30-39"/>
    <s v="男"/>
    <n v="2356"/>
  </r>
  <r>
    <n v="86878438"/>
    <n v="29"/>
    <x v="0"/>
    <x v="3"/>
    <s v="20-29"/>
    <s v="女"/>
    <n v="2800"/>
  </r>
  <r>
    <n v="86271473"/>
    <n v="53"/>
    <x v="0"/>
    <x v="3"/>
    <s v="&gt;=50"/>
    <s v="男"/>
    <n v="11836"/>
  </r>
  <r>
    <n v="81755695"/>
    <n v="35"/>
    <x v="3"/>
    <x v="3"/>
    <s v="30-39"/>
    <s v="男"/>
    <n v="10903"/>
  </r>
  <r>
    <n v="85361041"/>
    <n v="37"/>
    <x v="0"/>
    <x v="0"/>
    <s v="30-39"/>
    <s v="女"/>
    <n v="2973"/>
  </r>
  <r>
    <n v="84155272"/>
    <n v="53"/>
    <x v="3"/>
    <x v="2"/>
    <s v="&gt;=50"/>
    <s v="女"/>
    <n v="14275"/>
  </r>
  <r>
    <n v="89119632"/>
    <n v="43"/>
    <x v="3"/>
    <x v="3"/>
    <s v="40-49"/>
    <s v="女"/>
    <n v="5562"/>
  </r>
  <r>
    <n v="85199211"/>
    <n v="47"/>
    <x v="0"/>
    <x v="0"/>
    <s v="40-49"/>
    <s v="女"/>
    <n v="4537"/>
  </r>
  <r>
    <n v="81062043"/>
    <n v="37"/>
    <x v="0"/>
    <x v="0"/>
    <s v="30-39"/>
    <s v="男"/>
    <n v="7642"/>
  </r>
  <r>
    <n v="83517698"/>
    <n v="50"/>
    <x v="3"/>
    <x v="2"/>
    <s v="&gt;=50"/>
    <s v="男"/>
    <n v="17924"/>
  </r>
  <r>
    <n v="86524013"/>
    <n v="39"/>
    <x v="2"/>
    <x v="3"/>
    <s v="30-39"/>
    <s v="女"/>
    <n v="5204"/>
  </r>
  <r>
    <n v="87758447"/>
    <n v="33"/>
    <x v="2"/>
    <x v="0"/>
    <s v="30-39"/>
    <s v="男"/>
    <n v="2277"/>
  </r>
  <r>
    <n v="88409913"/>
    <n v="32"/>
    <x v="3"/>
    <x v="2"/>
    <s v="30-39"/>
    <s v="男"/>
    <n v="2795"/>
  </r>
  <r>
    <n v="85186458"/>
    <n v="29"/>
    <x v="3"/>
    <x v="1"/>
    <s v="20-29"/>
    <s v="女"/>
    <n v="2532"/>
  </r>
  <r>
    <n v="85647950"/>
    <n v="44"/>
    <x v="3"/>
    <x v="0"/>
    <s v="40-49"/>
    <s v="男"/>
    <n v="2559"/>
  </r>
  <r>
    <n v="88536107"/>
    <n v="28"/>
    <x v="0"/>
    <x v="2"/>
    <s v="20-29"/>
    <s v="男"/>
    <n v="4908"/>
  </r>
  <r>
    <n v="87304265"/>
    <n v="58"/>
    <x v="3"/>
    <x v="1"/>
    <s v="&gt;=50"/>
    <s v="男"/>
    <n v="2380"/>
  </r>
  <r>
    <n v="86729466"/>
    <n v="43"/>
    <x v="3"/>
    <x v="3"/>
    <s v="40-49"/>
    <s v="女"/>
    <n v="4765"/>
  </r>
  <r>
    <n v="87720203"/>
    <n v="20"/>
    <x v="0"/>
    <x v="3"/>
    <s v="20-29"/>
    <s v="女"/>
    <n v="2044"/>
  </r>
  <r>
    <n v="88567204"/>
    <n v="21"/>
    <x v="3"/>
    <x v="1"/>
    <s v="20-29"/>
    <s v="女"/>
    <n v="2693"/>
  </r>
  <r>
    <n v="85456204"/>
    <n v="36"/>
    <x v="3"/>
    <x v="1"/>
    <s v="30-39"/>
    <s v="男"/>
    <n v="6586"/>
  </r>
  <r>
    <n v="83483963"/>
    <n v="47"/>
    <x v="0"/>
    <x v="2"/>
    <s v="40-49"/>
    <s v="女"/>
    <n v="3294"/>
  </r>
  <r>
    <n v="88995328"/>
    <n v="22"/>
    <x v="3"/>
    <x v="1"/>
    <s v="20-29"/>
    <s v="女"/>
    <n v="4171"/>
  </r>
  <r>
    <n v="88090548"/>
    <n v="41"/>
    <x v="3"/>
    <x v="2"/>
    <s v="40-49"/>
    <s v="女"/>
    <n v="2778"/>
  </r>
  <r>
    <n v="89643973"/>
    <n v="28"/>
    <x v="3"/>
    <x v="3"/>
    <s v="20-29"/>
    <s v="女"/>
    <n v="2377"/>
  </r>
  <r>
    <n v="83785477"/>
    <n v="39"/>
    <x v="3"/>
    <x v="3"/>
    <s v="30-39"/>
    <s v="男"/>
    <n v="2404"/>
  </r>
  <r>
    <n v="80637393"/>
    <n v="27"/>
    <x v="3"/>
    <x v="3"/>
    <s v="20-29"/>
    <s v="女"/>
    <n v="2318"/>
  </r>
  <r>
    <n v="87859647"/>
    <n v="34"/>
    <x v="3"/>
    <x v="3"/>
    <s v="30-39"/>
    <s v="男"/>
    <n v="2008"/>
  </r>
  <r>
    <n v="86713250"/>
    <n v="42"/>
    <x v="0"/>
    <x v="0"/>
    <s v="40-49"/>
    <s v="女"/>
    <n v="6244"/>
  </r>
  <r>
    <n v="84402369"/>
    <n v="33"/>
    <x v="3"/>
    <x v="2"/>
    <s v="30-39"/>
    <s v="男"/>
    <n v="2799"/>
  </r>
  <r>
    <n v="86373198"/>
    <n v="58"/>
    <x v="3"/>
    <x v="3"/>
    <s v="&gt;=50"/>
    <s v="女"/>
    <n v="10552"/>
  </r>
  <r>
    <n v="87711872"/>
    <n v="31"/>
    <x v="0"/>
    <x v="2"/>
    <s v="30-39"/>
    <s v="男"/>
    <n v="2329"/>
  </r>
  <r>
    <n v="85360132"/>
    <n v="35"/>
    <x v="3"/>
    <x v="1"/>
    <s v="30-39"/>
    <s v="女"/>
    <n v="4014"/>
  </r>
  <r>
    <n v="87949790"/>
    <n v="49"/>
    <x v="3"/>
    <x v="0"/>
    <s v="40-49"/>
    <s v="女"/>
    <n v="7403"/>
  </r>
  <r>
    <n v="87784136"/>
    <n v="48"/>
    <x v="3"/>
    <x v="2"/>
    <s v="40-49"/>
    <s v="男"/>
    <n v="2259"/>
  </r>
  <r>
    <n v="81355256"/>
    <n v="31"/>
    <x v="0"/>
    <x v="0"/>
    <s v="30-39"/>
    <s v="女"/>
    <n v="6932"/>
  </r>
  <r>
    <n v="84514055"/>
    <n v="36"/>
    <x v="3"/>
    <x v="2"/>
    <s v="30-39"/>
    <s v="男"/>
    <n v="4678"/>
  </r>
  <r>
    <n v="85326999"/>
    <n v="38"/>
    <x v="3"/>
    <x v="3"/>
    <s v="30-39"/>
    <s v="女"/>
    <n v="13582"/>
  </r>
  <r>
    <n v="86168091"/>
    <n v="32"/>
    <x v="3"/>
    <x v="3"/>
    <s v="30-39"/>
    <s v="女"/>
    <n v="2332"/>
  </r>
  <r>
    <n v="85570759"/>
    <n v="25"/>
    <x v="0"/>
    <x v="0"/>
    <s v="20-29"/>
    <s v="男"/>
    <n v="2413"/>
  </r>
  <r>
    <n v="85353495"/>
    <n v="40"/>
    <x v="0"/>
    <x v="2"/>
    <s v="40-49"/>
    <s v="男"/>
    <n v="9705"/>
  </r>
  <r>
    <n v="88332733"/>
    <n v="26"/>
    <x v="0"/>
    <x v="3"/>
    <s v="20-29"/>
    <s v="男"/>
    <n v="4294"/>
  </r>
  <r>
    <n v="83156118"/>
    <n v="41"/>
    <x v="3"/>
    <x v="3"/>
    <s v="40-49"/>
    <s v="男"/>
    <n v="4721"/>
  </r>
  <r>
    <n v="86759245"/>
    <n v="36"/>
    <x v="3"/>
    <x v="2"/>
    <s v="30-39"/>
    <s v="男"/>
    <n v="2519"/>
  </r>
  <r>
    <n v="80595104"/>
    <n v="26"/>
    <x v="0"/>
    <x v="3"/>
    <s v="20-29"/>
    <s v="男"/>
    <n v="2121"/>
  </r>
  <r>
    <n v="82674352"/>
    <n v="20"/>
    <x v="3"/>
    <x v="3"/>
    <s v="20-29"/>
    <s v="男"/>
    <n v="2973"/>
  </r>
  <r>
    <n v="83563716"/>
    <n v="31"/>
    <x v="3"/>
    <x v="3"/>
    <s v="30-39"/>
    <s v="女"/>
    <n v="5855"/>
  </r>
  <r>
    <n v="88853626"/>
    <n v="40"/>
    <x v="3"/>
    <x v="2"/>
    <s v="40-49"/>
    <s v="男"/>
    <n v="3617"/>
  </r>
  <r>
    <n v="86320419"/>
    <n v="32"/>
    <x v="3"/>
    <x v="2"/>
    <s v="30-39"/>
    <s v="女"/>
    <n v="6725"/>
  </r>
  <r>
    <n v="80598153"/>
    <n v="36"/>
    <x v="0"/>
    <x v="1"/>
    <s v="30-39"/>
    <s v="男"/>
    <n v="10325"/>
  </r>
  <r>
    <n v="86399934"/>
    <n v="33"/>
    <x v="3"/>
    <x v="3"/>
    <s v="30-39"/>
    <s v="女"/>
    <n v="6949"/>
  </r>
  <r>
    <n v="81205240"/>
    <n v="37"/>
    <x v="0"/>
    <x v="2"/>
    <s v="30-39"/>
    <s v="男"/>
    <n v="10609"/>
  </r>
  <r>
    <n v="87788792"/>
    <n v="45"/>
    <x v="3"/>
    <x v="0"/>
    <s v="40-49"/>
    <s v="男"/>
    <n v="4447"/>
  </r>
  <r>
    <n v="82417458"/>
    <n v="29"/>
    <x v="0"/>
    <x v="3"/>
    <s v="20-29"/>
    <s v="女"/>
    <n v="2157"/>
  </r>
  <r>
    <n v="83075449"/>
    <n v="35"/>
    <x v="0"/>
    <x v="3"/>
    <s v="30-39"/>
    <s v="女"/>
    <n v="4601"/>
  </r>
  <r>
    <n v="86693666"/>
    <n v="52"/>
    <x v="3"/>
    <x v="0"/>
    <s v="&gt;=50"/>
    <s v="男"/>
    <n v="17099"/>
  </r>
  <r>
    <n v="81335588"/>
    <n v="58"/>
    <x v="3"/>
    <x v="3"/>
    <s v="&gt;=50"/>
    <s v="男"/>
    <n v="2479"/>
  </r>
  <r>
    <n v="81868711"/>
    <n v="53"/>
    <x v="0"/>
    <x v="0"/>
    <s v="&gt;=50"/>
    <s v="男"/>
    <n v="14852"/>
  </r>
  <r>
    <n v="89712527"/>
    <n v="30"/>
    <x v="0"/>
    <x v="0"/>
    <s v="30-39"/>
    <s v="男"/>
    <n v="7264"/>
  </r>
  <r>
    <n v="85859807"/>
    <n v="38"/>
    <x v="0"/>
    <x v="3"/>
    <s v="30-39"/>
    <s v="女"/>
    <n v="5666"/>
  </r>
  <r>
    <n v="84358918"/>
    <n v="35"/>
    <x v="0"/>
    <x v="2"/>
    <s v="30-39"/>
    <s v="男"/>
    <n v="7823"/>
  </r>
  <r>
    <n v="89287728"/>
    <n v="39"/>
    <x v="0"/>
    <x v="4"/>
    <s v="30-39"/>
    <s v="男"/>
    <n v="7880"/>
  </r>
  <r>
    <n v="83108709"/>
    <n v="40"/>
    <x v="0"/>
    <x v="3"/>
    <s v="40-49"/>
    <s v="女"/>
    <n v="13194"/>
  </r>
  <r>
    <n v="86190080"/>
    <n v="47"/>
    <x v="3"/>
    <x v="2"/>
    <s v="40-49"/>
    <s v="男"/>
    <n v="5067"/>
  </r>
  <r>
    <n v="88037525"/>
    <n v="36"/>
    <x v="0"/>
    <x v="2"/>
    <s v="30-39"/>
    <s v="男"/>
    <n v="5079"/>
  </r>
  <r>
    <n v="83909215"/>
    <n v="31"/>
    <x v="3"/>
    <x v="0"/>
    <s v="30-39"/>
    <s v="男"/>
    <n v="2321"/>
  </r>
  <r>
    <n v="84893663"/>
    <n v="33"/>
    <x v="0"/>
    <x v="3"/>
    <s v="30-39"/>
    <s v="男"/>
    <n v="17444"/>
  </r>
  <r>
    <n v="83596941"/>
    <n v="29"/>
    <x v="3"/>
    <x v="3"/>
    <s v="20-29"/>
    <s v="女"/>
    <n v="2404"/>
  </r>
  <r>
    <n v="83329110"/>
    <n v="33"/>
    <x v="3"/>
    <x v="1"/>
    <s v="30-39"/>
    <s v="女"/>
    <n v="3452"/>
  </r>
  <r>
    <n v="82823406"/>
    <n v="45"/>
    <x v="3"/>
    <x v="2"/>
    <s v="40-49"/>
    <s v="女"/>
    <n v="2270"/>
  </r>
  <r>
    <n v="89085110"/>
    <n v="50"/>
    <x v="3"/>
    <x v="0"/>
    <s v="&gt;=50"/>
    <s v="男"/>
    <n v="17399"/>
  </r>
  <r>
    <n v="83244573"/>
    <n v="33"/>
    <x v="3"/>
    <x v="2"/>
    <s v="30-39"/>
    <s v="女"/>
    <n v="5488"/>
  </r>
  <r>
    <n v="88321142"/>
    <n v="41"/>
    <x v="3"/>
    <x v="3"/>
    <s v="40-49"/>
    <s v="男"/>
    <n v="19419"/>
  </r>
  <r>
    <n v="84814225"/>
    <n v="27"/>
    <x v="3"/>
    <x v="2"/>
    <s v="20-29"/>
    <s v="女"/>
    <n v="2811"/>
  </r>
  <r>
    <n v="82850334"/>
    <n v="45"/>
    <x v="3"/>
    <x v="0"/>
    <s v="40-49"/>
    <s v="男"/>
    <n v="3633"/>
  </r>
  <r>
    <n v="83033442"/>
    <n v="47"/>
    <x v="0"/>
    <x v="0"/>
    <s v="40-49"/>
    <s v="女"/>
    <n v="4163"/>
  </r>
  <r>
    <n v="85172541"/>
    <n v="30"/>
    <x v="3"/>
    <x v="3"/>
    <s v="30-39"/>
    <s v="女"/>
    <n v="2132"/>
  </r>
  <r>
    <n v="82893710"/>
    <n v="50"/>
    <x v="3"/>
    <x v="3"/>
    <s v="&gt;=50"/>
    <s v="男"/>
    <n v="13973"/>
  </r>
  <r>
    <n v="82572073"/>
    <n v="38"/>
    <x v="3"/>
    <x v="1"/>
    <s v="30-39"/>
    <s v="男"/>
    <n v="2684"/>
  </r>
  <r>
    <n v="88835805"/>
    <n v="46"/>
    <x v="3"/>
    <x v="0"/>
    <s v="40-49"/>
    <s v="男"/>
    <n v="10845"/>
  </r>
  <r>
    <n v="81478956"/>
    <n v="24"/>
    <x v="3"/>
    <x v="1"/>
    <s v="20-29"/>
    <s v="女"/>
    <n v="4377"/>
  </r>
  <r>
    <n v="80226503"/>
    <n v="35"/>
    <x v="3"/>
    <x v="2"/>
    <s v="30-39"/>
    <s v="男"/>
    <n v="3743"/>
  </r>
  <r>
    <n v="82517532"/>
    <n v="31"/>
    <x v="3"/>
    <x v="1"/>
    <s v="30-39"/>
    <s v="女"/>
    <n v="4148"/>
  </r>
  <r>
    <n v="86633208"/>
    <n v="28"/>
    <x v="3"/>
    <x v="0"/>
    <s v="20-29"/>
    <s v="男"/>
    <n v="1051"/>
  </r>
  <r>
    <n v="84165678"/>
    <n v="54"/>
    <x v="3"/>
    <x v="3"/>
    <s v="&gt;=50"/>
    <s v="女"/>
    <n v="10739"/>
  </r>
  <r>
    <n v="81060582"/>
    <n v="35"/>
    <x v="3"/>
    <x v="2"/>
    <s v="30-39"/>
    <s v="女"/>
    <n v="10388"/>
  </r>
  <r>
    <n v="81344733"/>
    <n v="30"/>
    <x v="3"/>
    <x v="0"/>
    <s v="30-39"/>
    <s v="女"/>
    <n v="11416"/>
  </r>
  <r>
    <n v="87702477"/>
    <n v="20"/>
    <x v="3"/>
    <x v="3"/>
    <s v="20-29"/>
    <s v="女"/>
    <n v="2600"/>
  </r>
  <r>
    <n v="80266629"/>
    <n v="30"/>
    <x v="3"/>
    <x v="3"/>
    <s v="30-39"/>
    <s v="女"/>
    <n v="2422"/>
  </r>
  <r>
    <n v="85322394"/>
    <n v="26"/>
    <x v="3"/>
    <x v="0"/>
    <s v="20-29"/>
    <s v="男"/>
    <n v="5472"/>
  </r>
  <r>
    <n v="80373775"/>
    <n v="22"/>
    <x v="3"/>
    <x v="1"/>
    <s v="20-29"/>
    <s v="男"/>
    <n v="2451"/>
  </r>
  <r>
    <n v="81690414"/>
    <n v="48"/>
    <x v="3"/>
    <x v="3"/>
    <s v="40-49"/>
    <s v="男"/>
    <n v="4240"/>
  </r>
  <r>
    <n v="84432039"/>
    <n v="48"/>
    <x v="3"/>
    <x v="2"/>
    <s v="40-49"/>
    <s v="男"/>
    <n v="10999"/>
  </r>
  <r>
    <n v="85569809"/>
    <n v="41"/>
    <x v="3"/>
    <x v="0"/>
    <s v="40-49"/>
    <s v="女"/>
    <n v="5003"/>
  </r>
  <r>
    <n v="82951865"/>
    <n v="39"/>
    <x v="3"/>
    <x v="1"/>
    <s v="30-39"/>
    <s v="女"/>
    <n v="12742"/>
  </r>
  <r>
    <n v="85696959"/>
    <n v="27"/>
    <x v="3"/>
    <x v="2"/>
    <s v="20-29"/>
    <s v="女"/>
    <n v="4227"/>
  </r>
  <r>
    <n v="81947650"/>
    <n v="35"/>
    <x v="3"/>
    <x v="3"/>
    <s v="30-39"/>
    <s v="男"/>
    <n v="3917"/>
  </r>
  <r>
    <n v="82501596"/>
    <n v="42"/>
    <x v="0"/>
    <x v="0"/>
    <s v="40-49"/>
    <s v="男"/>
    <n v="18303"/>
  </r>
  <r>
    <n v="82663938"/>
    <n v="50"/>
    <x v="3"/>
    <x v="3"/>
    <s v="&gt;=50"/>
    <s v="男"/>
    <n v="2380"/>
  </r>
  <r>
    <n v="85447491"/>
    <n v="59"/>
    <x v="3"/>
    <x v="3"/>
    <s v="&gt;=50"/>
    <s v="女"/>
    <n v="13726"/>
  </r>
  <r>
    <n v="80778304"/>
    <n v="37"/>
    <x v="3"/>
    <x v="0"/>
    <s v="30-39"/>
    <s v="女"/>
    <n v="4777"/>
  </r>
  <r>
    <n v="81595450"/>
    <n v="55"/>
    <x v="3"/>
    <x v="2"/>
    <s v="&gt;=50"/>
    <s v="男"/>
    <n v="6385"/>
  </r>
  <r>
    <n v="80755091"/>
    <n v="41"/>
    <x v="3"/>
    <x v="1"/>
    <s v="40-49"/>
    <s v="女"/>
    <n v="19973"/>
  </r>
  <r>
    <n v="88393567"/>
    <n v="38"/>
    <x v="0"/>
    <x v="2"/>
    <s v="30-39"/>
    <s v="男"/>
    <n v="6861"/>
  </r>
  <r>
    <n v="87568098"/>
    <n v="26"/>
    <x v="0"/>
    <x v="0"/>
    <s v="20-29"/>
    <s v="男"/>
    <n v="4969"/>
  </r>
  <r>
    <n v="86390530"/>
    <n v="52"/>
    <x v="0"/>
    <x v="1"/>
    <s v="&gt;=50"/>
    <s v="女"/>
    <n v="19845"/>
  </r>
  <r>
    <n v="81135796"/>
    <n v="44"/>
    <x v="0"/>
    <x v="3"/>
    <s v="40-49"/>
    <s v="女"/>
    <n v="13320"/>
  </r>
  <r>
    <n v="89786500"/>
    <n v="50"/>
    <x v="0"/>
    <x v="3"/>
    <s v="&gt;=50"/>
    <s v="女"/>
    <n v="6347"/>
  </r>
  <r>
    <n v="87452093"/>
    <n v="36"/>
    <x v="3"/>
    <x v="2"/>
    <s v="30-39"/>
    <s v="女"/>
    <n v="2743"/>
  </r>
  <r>
    <n v="89716171"/>
    <n v="39"/>
    <x v="3"/>
    <x v="3"/>
    <s v="30-39"/>
    <s v="女"/>
    <n v="10880"/>
  </r>
  <r>
    <n v="83038406"/>
    <n v="33"/>
    <x v="0"/>
    <x v="1"/>
    <s v="30-39"/>
    <s v="女"/>
    <n v="2342"/>
  </r>
  <r>
    <n v="83889193"/>
    <n v="45"/>
    <x v="0"/>
    <x v="0"/>
    <s v="40-49"/>
    <s v="女"/>
    <n v="17650"/>
  </r>
  <r>
    <n v="82490898"/>
    <n v="32"/>
    <x v="3"/>
    <x v="2"/>
    <s v="30-39"/>
    <s v="女"/>
    <n v="4025"/>
  </r>
  <r>
    <n v="83246197"/>
    <n v="34"/>
    <x v="0"/>
    <x v="2"/>
    <s v="30-39"/>
    <s v="男"/>
    <n v="9725"/>
  </r>
  <r>
    <n v="85762907"/>
    <n v="59"/>
    <x v="0"/>
    <x v="0"/>
    <s v="&gt;=50"/>
    <s v="男"/>
    <n v="11904"/>
  </r>
  <r>
    <n v="83739924"/>
    <n v="45"/>
    <x v="2"/>
    <x v="2"/>
    <s v="40-49"/>
    <s v="男"/>
    <n v="2177"/>
  </r>
  <r>
    <n v="83210694"/>
    <n v="53"/>
    <x v="0"/>
    <x v="3"/>
    <s v="&gt;=50"/>
    <s v="女"/>
    <n v="7525"/>
  </r>
  <r>
    <n v="83412618"/>
    <n v="36"/>
    <x v="3"/>
    <x v="3"/>
    <s v="30-39"/>
    <s v="男"/>
    <n v="4834"/>
  </r>
  <r>
    <n v="89893636"/>
    <n v="26"/>
    <x v="3"/>
    <x v="3"/>
    <s v="20-29"/>
    <s v="男"/>
    <n v="2042"/>
  </r>
  <r>
    <n v="86397473"/>
    <n v="34"/>
    <x v="0"/>
    <x v="2"/>
    <s v="30-39"/>
    <s v="女"/>
    <n v="2220"/>
  </r>
  <r>
    <n v="88897296"/>
    <n v="28"/>
    <x v="0"/>
    <x v="1"/>
    <s v="20-29"/>
    <s v="男"/>
    <n v="1052"/>
  </r>
  <r>
    <n v="81177630"/>
    <n v="38"/>
    <x v="3"/>
    <x v="2"/>
    <s v="30-39"/>
    <s v="男"/>
    <n v="2821"/>
  </r>
  <r>
    <n v="89095046"/>
    <n v="50"/>
    <x v="3"/>
    <x v="2"/>
    <s v="&gt;=50"/>
    <s v="男"/>
    <n v="19237"/>
  </r>
  <r>
    <n v="86562723"/>
    <n v="37"/>
    <x v="3"/>
    <x v="3"/>
    <s v="30-39"/>
    <s v="女"/>
    <n v="4107"/>
  </r>
  <r>
    <n v="85370127"/>
    <n v="40"/>
    <x v="0"/>
    <x v="3"/>
    <s v="40-49"/>
    <s v="男"/>
    <n v="8396"/>
  </r>
  <r>
    <n v="84506013"/>
    <n v="26"/>
    <x v="3"/>
    <x v="1"/>
    <s v="20-29"/>
    <s v="女"/>
    <n v="2007"/>
  </r>
  <r>
    <n v="89532293"/>
    <n v="46"/>
    <x v="3"/>
    <x v="2"/>
    <s v="40-49"/>
    <s v="男"/>
    <n v="19627"/>
  </r>
  <r>
    <n v="81024156"/>
    <n v="54"/>
    <x v="0"/>
    <x v="2"/>
    <s v="&gt;=50"/>
    <s v="女"/>
    <n v="10686"/>
  </r>
  <r>
    <n v="84246674"/>
    <n v="56"/>
    <x v="3"/>
    <x v="3"/>
    <s v="&gt;=50"/>
    <s v="女"/>
    <n v="2942"/>
  </r>
  <r>
    <n v="87223822"/>
    <n v="36"/>
    <x v="3"/>
    <x v="4"/>
    <s v="30-39"/>
    <s v="女"/>
    <n v="8858"/>
  </r>
  <r>
    <n v="85268015"/>
    <n v="55"/>
    <x v="3"/>
    <x v="1"/>
    <s v="&gt;=50"/>
    <s v="男"/>
    <n v="16756"/>
  </r>
  <r>
    <n v="87478687"/>
    <n v="43"/>
    <x v="0"/>
    <x v="3"/>
    <s v="40-49"/>
    <s v="男"/>
    <n v="10798"/>
  </r>
  <r>
    <n v="89601336"/>
    <n v="20"/>
    <x v="0"/>
    <x v="3"/>
    <s v="20-29"/>
    <s v="女"/>
    <n v="2323"/>
  </r>
  <r>
    <n v="85773539"/>
    <n v="21"/>
    <x v="3"/>
    <x v="3"/>
    <s v="20-29"/>
    <s v="女"/>
    <n v="1416"/>
  </r>
  <r>
    <n v="85829083"/>
    <n v="46"/>
    <x v="3"/>
    <x v="2"/>
    <s v="40-49"/>
    <s v="女"/>
    <n v="4615"/>
  </r>
  <r>
    <n v="84774606"/>
    <n v="51"/>
    <x v="3"/>
    <x v="2"/>
    <s v="&gt;=50"/>
    <s v="男"/>
    <n v="2461"/>
  </r>
  <r>
    <n v="83159575"/>
    <n v="28"/>
    <x v="3"/>
    <x v="0"/>
    <s v="20-29"/>
    <s v="男"/>
    <n v="8722"/>
  </r>
  <r>
    <n v="89239042"/>
    <n v="26"/>
    <x v="3"/>
    <x v="0"/>
    <s v="20-29"/>
    <s v="男"/>
    <n v="3955"/>
  </r>
  <r>
    <n v="83679348"/>
    <n v="30"/>
    <x v="3"/>
    <x v="3"/>
    <s v="30-39"/>
    <s v="男"/>
    <n v="9957"/>
  </r>
  <r>
    <n v="80631918"/>
    <n v="41"/>
    <x v="3"/>
    <x v="0"/>
    <s v="40-49"/>
    <s v="女"/>
    <n v="3376"/>
  </r>
  <r>
    <n v="86482268"/>
    <n v="38"/>
    <x v="3"/>
    <x v="1"/>
    <s v="30-39"/>
    <s v="女"/>
    <n v="8823"/>
  </r>
  <r>
    <n v="80584286"/>
    <n v="40"/>
    <x v="3"/>
    <x v="2"/>
    <s v="40-49"/>
    <s v="男"/>
    <n v="10322"/>
  </r>
  <r>
    <n v="83559781"/>
    <n v="27"/>
    <x v="3"/>
    <x v="4"/>
    <s v="20-29"/>
    <s v="男"/>
    <n v="4621"/>
  </r>
  <r>
    <n v="87726208"/>
    <n v="55"/>
    <x v="3"/>
    <x v="1"/>
    <s v="&gt;=50"/>
    <s v="男"/>
    <n v="10976"/>
  </r>
  <r>
    <n v="84617117"/>
    <n v="28"/>
    <x v="3"/>
    <x v="3"/>
    <s v="20-29"/>
    <s v="女"/>
    <n v="3660"/>
  </r>
  <r>
    <n v="85997314"/>
    <n v="44"/>
    <x v="2"/>
    <x v="0"/>
    <s v="40-49"/>
    <s v="男"/>
    <n v="10482"/>
  </r>
  <r>
    <n v="83206335"/>
    <n v="33"/>
    <x v="3"/>
    <x v="3"/>
    <s v="30-39"/>
    <s v="男"/>
    <n v="7119"/>
  </r>
  <r>
    <n v="83273006"/>
    <n v="35"/>
    <x v="0"/>
    <x v="3"/>
    <s v="30-39"/>
    <s v="男"/>
    <n v="9582"/>
  </r>
  <r>
    <n v="85745427"/>
    <n v="33"/>
    <x v="3"/>
    <x v="2"/>
    <s v="30-39"/>
    <s v="女"/>
    <n v="4508"/>
  </r>
  <r>
    <n v="85281260"/>
    <n v="28"/>
    <x v="3"/>
    <x v="0"/>
    <s v="20-29"/>
    <s v="男"/>
    <n v="2207"/>
  </r>
  <r>
    <n v="82641945"/>
    <n v="34"/>
    <x v="3"/>
    <x v="1"/>
    <s v="30-39"/>
    <s v="男"/>
    <n v="7756"/>
  </r>
  <r>
    <n v="86238983"/>
    <n v="37"/>
    <x v="0"/>
    <x v="2"/>
    <s v="30-39"/>
    <s v="女"/>
    <n v="6694"/>
  </r>
  <r>
    <n v="86883629"/>
    <n v="25"/>
    <x v="3"/>
    <x v="1"/>
    <s v="20-29"/>
    <s v="男"/>
    <n v="3691"/>
  </r>
  <r>
    <n v="89407725"/>
    <n v="26"/>
    <x v="3"/>
    <x v="3"/>
    <s v="20-29"/>
    <s v="男"/>
    <n v="2377"/>
  </r>
  <r>
    <n v="82996172"/>
    <n v="33"/>
    <x v="3"/>
    <x v="3"/>
    <s v="30-39"/>
    <s v="男"/>
    <n v="2313"/>
  </r>
  <r>
    <n v="83564226"/>
    <n v="42"/>
    <x v="3"/>
    <x v="0"/>
    <s v="40-49"/>
    <s v="男"/>
    <n v="17665"/>
  </r>
  <r>
    <n v="88522967"/>
    <n v="28"/>
    <x v="3"/>
    <x v="3"/>
    <s v="20-29"/>
    <s v="男"/>
    <n v="2596"/>
  </r>
  <r>
    <n v="87333783"/>
    <n v="50"/>
    <x v="0"/>
    <x v="2"/>
    <s v="&gt;=50"/>
    <s v="男"/>
    <n v="4728"/>
  </r>
  <r>
    <n v="83158886"/>
    <n v="33"/>
    <x v="0"/>
    <x v="3"/>
    <s v="30-39"/>
    <s v="女"/>
    <n v="4302"/>
  </r>
  <r>
    <n v="88194420"/>
    <n v="34"/>
    <x v="3"/>
    <x v="2"/>
    <s v="30-39"/>
    <s v="男"/>
    <n v="2979"/>
  </r>
  <r>
    <n v="86323592"/>
    <n v="48"/>
    <x v="3"/>
    <x v="2"/>
    <s v="40-49"/>
    <s v="男"/>
    <n v="16885"/>
  </r>
  <r>
    <n v="88664696"/>
    <n v="45"/>
    <x v="0"/>
    <x v="2"/>
    <s v="40-49"/>
    <s v="女"/>
    <n v="5593"/>
  </r>
  <r>
    <n v="88475972"/>
    <n v="52"/>
    <x v="3"/>
    <x v="2"/>
    <s v="&gt;=50"/>
    <s v="男"/>
    <n v="10445"/>
  </r>
  <r>
    <n v="80734843"/>
    <n v="38"/>
    <x v="0"/>
    <x v="2"/>
    <s v="30-39"/>
    <s v="男"/>
    <n v="8740"/>
  </r>
  <r>
    <n v="89102938"/>
    <n v="29"/>
    <x v="3"/>
    <x v="2"/>
    <s v="20-29"/>
    <s v="女"/>
    <n v="2514"/>
  </r>
  <r>
    <n v="85665415"/>
    <n v="28"/>
    <x v="3"/>
    <x v="3"/>
    <s v="20-29"/>
    <s v="女"/>
    <n v="7655"/>
  </r>
  <r>
    <n v="84292166"/>
    <n v="46"/>
    <x v="0"/>
    <x v="1"/>
    <s v="40-49"/>
    <s v="男"/>
    <n v="17465"/>
  </r>
  <r>
    <n v="80070265"/>
    <n v="38"/>
    <x v="0"/>
    <x v="0"/>
    <s v="30-39"/>
    <s v="男"/>
    <n v="7351"/>
  </r>
  <r>
    <n v="80257052"/>
    <n v="43"/>
    <x v="3"/>
    <x v="3"/>
    <s v="40-49"/>
    <s v="女"/>
    <n v="10820"/>
  </r>
  <r>
    <n v="83522056"/>
    <n v="39"/>
    <x v="3"/>
    <x v="3"/>
    <s v="30-39"/>
    <s v="男"/>
    <n v="12169"/>
  </r>
  <r>
    <n v="80509362"/>
    <n v="40"/>
    <x v="3"/>
    <x v="3"/>
    <s v="40-49"/>
    <s v="男"/>
    <n v="19626"/>
  </r>
  <r>
    <n v="87546568"/>
    <n v="21"/>
    <x v="3"/>
    <x v="1"/>
    <s v="20-29"/>
    <s v="女"/>
    <n v="2070"/>
  </r>
  <r>
    <n v="83728192"/>
    <n v="39"/>
    <x v="3"/>
    <x v="3"/>
    <s v="30-39"/>
    <s v="男"/>
    <n v="6782"/>
  </r>
  <r>
    <n v="87538406"/>
    <n v="36"/>
    <x v="3"/>
    <x v="2"/>
    <s v="30-39"/>
    <s v="男"/>
    <n v="7779"/>
  </r>
  <r>
    <n v="89029089"/>
    <n v="31"/>
    <x v="0"/>
    <x v="3"/>
    <s v="30-39"/>
    <s v="男"/>
    <n v="2791"/>
  </r>
  <r>
    <n v="85159220"/>
    <n v="28"/>
    <x v="3"/>
    <x v="1"/>
    <s v="20-29"/>
    <s v="男"/>
    <n v="3201"/>
  </r>
  <r>
    <n v="84053471"/>
    <n v="35"/>
    <x v="0"/>
    <x v="0"/>
    <s v="30-39"/>
    <s v="男"/>
    <n v="4968"/>
  </r>
  <r>
    <n v="87542908"/>
    <n v="49"/>
    <x v="0"/>
    <x v="2"/>
    <s v="40-49"/>
    <s v="男"/>
    <n v="13120"/>
  </r>
  <r>
    <n v="83659397"/>
    <n v="34"/>
    <x v="3"/>
    <x v="0"/>
    <s v="30-39"/>
    <s v="男"/>
    <n v="4033"/>
  </r>
  <r>
    <n v="84968274"/>
    <n v="29"/>
    <x v="3"/>
    <x v="3"/>
    <s v="20-29"/>
    <s v="女"/>
    <n v="3291"/>
  </r>
  <r>
    <n v="84419310"/>
    <n v="42"/>
    <x v="3"/>
    <x v="3"/>
    <s v="40-49"/>
    <s v="男"/>
    <n v="4272"/>
  </r>
  <r>
    <n v="83790953"/>
    <n v="29"/>
    <x v="3"/>
    <x v="1"/>
    <s v="20-29"/>
    <s v="男"/>
    <n v="5056"/>
  </r>
  <r>
    <n v="84009810"/>
    <n v="38"/>
    <x v="2"/>
    <x v="3"/>
    <s v="30-39"/>
    <s v="男"/>
    <n v="2844"/>
  </r>
  <r>
    <n v="85090880"/>
    <n v="28"/>
    <x v="3"/>
    <x v="3"/>
    <s v="20-29"/>
    <s v="男"/>
    <n v="2703"/>
  </r>
  <r>
    <n v="82888323"/>
    <n v="26"/>
    <x v="3"/>
    <x v="1"/>
    <s v="20-29"/>
    <s v="男"/>
    <n v="1904"/>
  </r>
  <r>
    <n v="87173913"/>
    <n v="33"/>
    <x v="0"/>
    <x v="2"/>
    <s v="30-39"/>
    <s v="女"/>
    <n v="8224"/>
  </r>
  <r>
    <n v="87577908"/>
    <n v="41"/>
    <x v="3"/>
    <x v="2"/>
    <s v="40-49"/>
    <s v="男"/>
    <n v="4766"/>
  </r>
  <r>
    <n v="83322744"/>
    <n v="31"/>
    <x v="3"/>
    <x v="3"/>
    <s v="30-39"/>
    <s v="男"/>
    <n v="2610"/>
  </r>
  <r>
    <n v="86803453"/>
    <n v="37"/>
    <x v="3"/>
    <x v="0"/>
    <s v="30-39"/>
    <s v="女"/>
    <n v="5731"/>
  </r>
  <r>
    <n v="84878682"/>
    <n v="27"/>
    <x v="3"/>
    <x v="3"/>
    <s v="20-29"/>
    <s v="男"/>
    <n v="2539"/>
  </r>
  <r>
    <n v="80593605"/>
    <n v="34"/>
    <x v="0"/>
    <x v="1"/>
    <s v="30-39"/>
    <s v="女"/>
    <n v="5714"/>
  </r>
  <r>
    <n v="89054563"/>
    <n v="35"/>
    <x v="2"/>
    <x v="2"/>
    <s v="30-39"/>
    <s v="男"/>
    <n v="4323"/>
  </r>
  <r>
    <n v="88842119"/>
    <n v="29"/>
    <x v="0"/>
    <x v="1"/>
    <s v="20-29"/>
    <s v="女"/>
    <n v="7336"/>
  </r>
  <r>
    <n v="85003522"/>
    <n v="40"/>
    <x v="3"/>
    <x v="2"/>
    <s v="40-49"/>
    <s v="女"/>
    <n v="13499"/>
  </r>
  <r>
    <n v="84068924"/>
    <n v="42"/>
    <x v="0"/>
    <x v="3"/>
    <s v="40-49"/>
    <s v="男"/>
    <n v="13758"/>
  </r>
  <r>
    <n v="80074388"/>
    <n v="42"/>
    <x v="0"/>
    <x v="2"/>
    <s v="40-49"/>
    <s v="男"/>
    <n v="5155"/>
  </r>
  <r>
    <n v="84134105"/>
    <n v="35"/>
    <x v="3"/>
    <x v="2"/>
    <s v="30-39"/>
    <s v="男"/>
    <n v="2258"/>
  </r>
  <r>
    <n v="80495749"/>
    <n v="24"/>
    <x v="3"/>
    <x v="3"/>
    <s v="20-29"/>
    <s v="男"/>
    <n v="3597"/>
  </r>
  <r>
    <n v="88666755"/>
    <n v="28"/>
    <x v="3"/>
    <x v="1"/>
    <s v="20-29"/>
    <s v="女"/>
    <n v="2515"/>
  </r>
  <r>
    <n v="82843594"/>
    <n v="26"/>
    <x v="3"/>
    <x v="2"/>
    <s v="20-29"/>
    <s v="男"/>
    <n v="4420"/>
  </r>
  <r>
    <n v="82287919"/>
    <n v="30"/>
    <x v="0"/>
    <x v="3"/>
    <s v="30-39"/>
    <s v="男"/>
    <n v="6578"/>
  </r>
  <r>
    <n v="87715152"/>
    <n v="40"/>
    <x v="3"/>
    <x v="0"/>
    <s v="40-49"/>
    <s v="女"/>
    <n v="4422"/>
  </r>
  <r>
    <n v="83810391"/>
    <n v="35"/>
    <x v="3"/>
    <x v="3"/>
    <s v="30-39"/>
    <s v="男"/>
    <n v="10274"/>
  </r>
  <r>
    <n v="89739975"/>
    <n v="34"/>
    <x v="3"/>
    <x v="3"/>
    <s v="30-39"/>
    <s v="男"/>
    <n v="5343"/>
  </r>
  <r>
    <n v="83914323"/>
    <n v="35"/>
    <x v="3"/>
    <x v="2"/>
    <s v="30-39"/>
    <s v="男"/>
    <n v="2376"/>
  </r>
  <r>
    <n v="84123500"/>
    <n v="43"/>
    <x v="0"/>
    <x v="3"/>
    <s v="40-49"/>
    <s v="女"/>
    <n v="5346"/>
  </r>
  <r>
    <n v="81015211"/>
    <n v="32"/>
    <x v="0"/>
    <x v="1"/>
    <s v="30-39"/>
    <s v="女"/>
    <n v="2827"/>
  </r>
  <r>
    <n v="89813048"/>
    <n v="56"/>
    <x v="3"/>
    <x v="2"/>
    <s v="&gt;=50"/>
    <s v="女"/>
    <n v="19943"/>
  </r>
  <r>
    <n v="88761422"/>
    <n v="29"/>
    <x v="3"/>
    <x v="1"/>
    <s v="20-29"/>
    <s v="女"/>
    <n v="3131"/>
  </r>
  <r>
    <n v="85988255"/>
    <n v="25"/>
    <x v="3"/>
    <x v="0"/>
    <s v="20-29"/>
    <s v="男"/>
    <n v="2552"/>
  </r>
  <r>
    <n v="83483118"/>
    <n v="45"/>
    <x v="3"/>
    <x v="3"/>
    <s v="40-49"/>
    <s v="女"/>
    <n v="4477"/>
  </r>
  <r>
    <n v="82803683"/>
    <n v="37"/>
    <x v="3"/>
    <x v="3"/>
    <s v="30-39"/>
    <s v="女"/>
    <n v="6474"/>
  </r>
  <r>
    <n v="85265605"/>
    <n v="20"/>
    <x v="3"/>
    <x v="3"/>
    <s v="20-29"/>
    <s v="男"/>
    <n v="3033"/>
  </r>
  <r>
    <n v="81420080"/>
    <n v="44"/>
    <x v="3"/>
    <x v="2"/>
    <s v="40-49"/>
    <s v="男"/>
    <n v="2936"/>
  </r>
  <r>
    <n v="86608754"/>
    <n v="53"/>
    <x v="3"/>
    <x v="0"/>
    <s v="&gt;=50"/>
    <s v="女"/>
    <n v="18606"/>
  </r>
  <r>
    <n v="82832779"/>
    <n v="29"/>
    <x v="3"/>
    <x v="1"/>
    <s v="20-29"/>
    <s v="女"/>
    <n v="2168"/>
  </r>
  <r>
    <n v="86997580"/>
    <n v="22"/>
    <x v="3"/>
    <x v="2"/>
    <s v="20-29"/>
    <s v="男"/>
    <n v="2853"/>
  </r>
  <r>
    <n v="84040761"/>
    <n v="46"/>
    <x v="0"/>
    <x v="3"/>
    <s v="40-49"/>
    <s v="女"/>
    <n v="17048"/>
  </r>
  <r>
    <n v="88160841"/>
    <n v="44"/>
    <x v="3"/>
    <x v="3"/>
    <s v="40-49"/>
    <s v="男"/>
    <n v="2290"/>
  </r>
  <r>
    <n v="82289411"/>
    <n v="33"/>
    <x v="2"/>
    <x v="3"/>
    <s v="30-39"/>
    <s v="男"/>
    <n v="3600"/>
  </r>
  <r>
    <n v="89139523"/>
    <n v="41"/>
    <x v="3"/>
    <x v="0"/>
    <s v="40-49"/>
    <s v="男"/>
    <n v="2107"/>
  </r>
  <r>
    <n v="86288822"/>
    <n v="30"/>
    <x v="0"/>
    <x v="2"/>
    <s v="30-39"/>
    <s v="男"/>
    <n v="4115"/>
  </r>
  <r>
    <n v="89534351"/>
    <n v="40"/>
    <x v="0"/>
    <x v="2"/>
    <s v="40-49"/>
    <s v="男"/>
    <n v="4327"/>
  </r>
  <r>
    <n v="88554025"/>
    <n v="50"/>
    <x v="3"/>
    <x v="3"/>
    <s v="&gt;=50"/>
    <s v="女"/>
    <n v="17856"/>
  </r>
  <r>
    <n v="84572875"/>
    <n v="28"/>
    <x v="3"/>
    <x v="2"/>
    <s v="20-29"/>
    <s v="男"/>
    <n v="3196"/>
  </r>
  <r>
    <n v="80691814"/>
    <n v="46"/>
    <x v="3"/>
    <x v="0"/>
    <s v="40-49"/>
    <s v="男"/>
    <n v="19081"/>
  </r>
  <r>
    <n v="85812970"/>
    <n v="35"/>
    <x v="0"/>
    <x v="2"/>
    <s v="30-39"/>
    <s v="男"/>
    <n v="8966"/>
  </r>
  <r>
    <n v="88054224"/>
    <n v="24"/>
    <x v="3"/>
    <x v="0"/>
    <s v="20-29"/>
    <s v="女"/>
    <n v="2210"/>
  </r>
  <r>
    <n v="89837356"/>
    <n v="33"/>
    <x v="0"/>
    <x v="3"/>
    <s v="30-39"/>
    <s v="女"/>
    <n v="4539"/>
  </r>
  <r>
    <n v="89337722"/>
    <n v="36"/>
    <x v="3"/>
    <x v="2"/>
    <s v="30-39"/>
    <s v="男"/>
    <n v="2741"/>
  </r>
  <r>
    <n v="85752999"/>
    <n v="30"/>
    <x v="3"/>
    <x v="2"/>
    <s v="30-39"/>
    <s v="男"/>
    <n v="3491"/>
  </r>
  <r>
    <n v="84698753"/>
    <n v="44"/>
    <x v="3"/>
    <x v="2"/>
    <s v="40-49"/>
    <s v="男"/>
    <n v="4541"/>
  </r>
  <r>
    <n v="83755822"/>
    <n v="20"/>
    <x v="0"/>
    <x v="3"/>
    <s v="20-29"/>
    <s v="男"/>
    <n v="2678"/>
  </r>
  <r>
    <n v="88415135"/>
    <n v="46"/>
    <x v="3"/>
    <x v="2"/>
    <s v="40-49"/>
    <s v="男"/>
    <n v="7379"/>
  </r>
  <r>
    <n v="81940133"/>
    <n v="42"/>
    <x v="2"/>
    <x v="4"/>
    <s v="40-49"/>
    <s v="男"/>
    <n v="6272"/>
  </r>
  <r>
    <n v="83140562"/>
    <n v="60"/>
    <x v="0"/>
    <x v="2"/>
    <s v="&gt;=50"/>
    <s v="男"/>
    <n v="5220"/>
  </r>
  <r>
    <n v="80027568"/>
    <n v="32"/>
    <x v="3"/>
    <x v="3"/>
    <s v="30-39"/>
    <s v="女"/>
    <n v="2743"/>
  </r>
  <r>
    <n v="85405047"/>
    <n v="32"/>
    <x v="3"/>
    <x v="0"/>
    <s v="30-39"/>
    <s v="女"/>
    <n v="4998"/>
  </r>
  <r>
    <n v="87198804"/>
    <n v="36"/>
    <x v="3"/>
    <x v="3"/>
    <s v="30-39"/>
    <s v="女"/>
    <n v="10252"/>
  </r>
  <r>
    <n v="84003633"/>
    <n v="33"/>
    <x v="3"/>
    <x v="3"/>
    <s v="30-39"/>
    <s v="男"/>
    <n v="2781"/>
  </r>
  <r>
    <n v="82622115"/>
    <n v="40"/>
    <x v="0"/>
    <x v="3"/>
    <s v="40-49"/>
    <s v="女"/>
    <n v="6852"/>
  </r>
  <r>
    <n v="86834524"/>
    <n v="25"/>
    <x v="0"/>
    <x v="2"/>
    <s v="20-29"/>
    <s v="男"/>
    <n v="4950"/>
  </r>
  <r>
    <n v="87376657"/>
    <n v="30"/>
    <x v="3"/>
    <x v="3"/>
    <s v="30-39"/>
    <s v="男"/>
    <n v="3579"/>
  </r>
  <r>
    <n v="81597518"/>
    <n v="42"/>
    <x v="3"/>
    <x v="4"/>
    <s v="40-49"/>
    <s v="女"/>
    <n v="13191"/>
  </r>
  <r>
    <n v="86468850"/>
    <n v="35"/>
    <x v="0"/>
    <x v="0"/>
    <s v="30-39"/>
    <s v="女"/>
    <n v="10377"/>
  </r>
  <r>
    <n v="80575090"/>
    <n v="27"/>
    <x v="3"/>
    <x v="3"/>
    <s v="20-29"/>
    <s v="男"/>
    <n v="2235"/>
  </r>
  <r>
    <n v="84803126"/>
    <n v="54"/>
    <x v="3"/>
    <x v="2"/>
    <s v="&gt;=50"/>
    <s v="女"/>
    <n v="10502"/>
  </r>
  <r>
    <n v="85741001"/>
    <n v="44"/>
    <x v="3"/>
    <x v="1"/>
    <s v="40-49"/>
    <s v="女"/>
    <n v="2011"/>
  </r>
  <r>
    <n v="88026172"/>
    <n v="23"/>
    <x v="3"/>
    <x v="3"/>
    <s v="20-29"/>
    <s v="女"/>
    <n v="1859"/>
  </r>
  <r>
    <n v="87796022"/>
    <n v="29"/>
    <x v="3"/>
    <x v="3"/>
    <s v="20-29"/>
    <s v="女"/>
    <n v="3760"/>
  </r>
  <r>
    <n v="83141972"/>
    <n v="54"/>
    <x v="3"/>
    <x v="3"/>
    <s v="&gt;=50"/>
    <s v="男"/>
    <n v="17779"/>
  </r>
  <r>
    <n v="86337873"/>
    <n v="31"/>
    <x v="3"/>
    <x v="0"/>
    <s v="30-39"/>
    <s v="男"/>
    <n v="6833"/>
  </r>
  <r>
    <n v="85707403"/>
    <n v="31"/>
    <x v="3"/>
    <x v="3"/>
    <s v="30-39"/>
    <s v="女"/>
    <n v="6812"/>
  </r>
  <r>
    <n v="83798577"/>
    <n v="59"/>
    <x v="0"/>
    <x v="3"/>
    <s v="&gt;=50"/>
    <s v="女"/>
    <n v="5171"/>
  </r>
  <r>
    <n v="88713685"/>
    <n v="43"/>
    <x v="3"/>
    <x v="3"/>
    <s v="40-49"/>
    <s v="男"/>
    <n v="19740"/>
  </r>
  <r>
    <n v="89794945"/>
    <n v="49"/>
    <x v="3"/>
    <x v="0"/>
    <s v="40-49"/>
    <s v="男"/>
    <n v="18711"/>
  </r>
  <r>
    <n v="85765670"/>
    <n v="36"/>
    <x v="3"/>
    <x v="3"/>
    <s v="30-39"/>
    <s v="男"/>
    <n v="3692"/>
  </r>
  <r>
    <n v="85159706"/>
    <n v="48"/>
    <x v="3"/>
    <x v="0"/>
    <s v="40-49"/>
    <s v="男"/>
    <n v="2559"/>
  </r>
  <r>
    <n v="87050982"/>
    <n v="27"/>
    <x v="3"/>
    <x v="0"/>
    <s v="20-29"/>
    <s v="男"/>
    <n v="2517"/>
  </r>
  <r>
    <n v="88211734"/>
    <n v="29"/>
    <x v="3"/>
    <x v="3"/>
    <s v="20-29"/>
    <s v="男"/>
    <n v="6623"/>
  </r>
  <r>
    <n v="85236014"/>
    <n v="48"/>
    <x v="3"/>
    <x v="3"/>
    <s v="40-49"/>
    <s v="男"/>
    <n v="18265"/>
  </r>
  <r>
    <n v="89124679"/>
    <n v="29"/>
    <x v="3"/>
    <x v="3"/>
    <s v="20-29"/>
    <s v="女"/>
    <n v="16124"/>
  </r>
  <r>
    <n v="83756582"/>
    <n v="34"/>
    <x v="3"/>
    <x v="3"/>
    <s v="30-39"/>
    <s v="女"/>
    <n v="2585"/>
  </r>
  <r>
    <n v="85306385"/>
    <n v="44"/>
    <x v="0"/>
    <x v="3"/>
    <s v="40-49"/>
    <s v="男"/>
    <n v="18213"/>
  </r>
  <r>
    <n v="80133689"/>
    <n v="33"/>
    <x v="0"/>
    <x v="4"/>
    <s v="30-39"/>
    <s v="男"/>
    <n v="8380"/>
  </r>
  <r>
    <n v="86915921"/>
    <n v="23"/>
    <x v="3"/>
    <x v="3"/>
    <s v="20-29"/>
    <s v="女"/>
    <n v="2994"/>
  </r>
  <r>
    <n v="83204205"/>
    <n v="23"/>
    <x v="3"/>
    <x v="0"/>
    <s v="20-29"/>
    <s v="男"/>
    <n v="1223"/>
  </r>
  <r>
    <n v="85224935"/>
    <n v="25"/>
    <x v="0"/>
    <x v="1"/>
    <s v="20-29"/>
    <s v="男"/>
    <n v="1118"/>
  </r>
  <r>
    <n v="86296427"/>
    <n v="26"/>
    <x v="3"/>
    <x v="0"/>
    <s v="20-29"/>
    <s v="男"/>
    <n v="2875"/>
  </r>
  <r>
    <n v="81721264"/>
    <n v="45"/>
    <x v="0"/>
    <x v="3"/>
    <s v="40-49"/>
    <s v="女"/>
    <n v="18824"/>
  </r>
  <r>
    <n v="88887792"/>
    <n v="55"/>
    <x v="3"/>
    <x v="1"/>
    <s v="&gt;=50"/>
    <s v="男"/>
    <n v="13577"/>
  </r>
  <r>
    <n v="80696559"/>
    <n v="21"/>
    <x v="3"/>
    <x v="0"/>
    <s v="20-29"/>
    <s v="女"/>
    <n v="2625"/>
  </r>
  <r>
    <n v="83447623"/>
    <n v="46"/>
    <x v="0"/>
    <x v="0"/>
    <s v="40-49"/>
    <s v="女"/>
    <n v="18789"/>
  </r>
  <r>
    <n v="87798462"/>
    <n v="34"/>
    <x v="0"/>
    <x v="3"/>
    <s v="30-39"/>
    <s v="女"/>
    <n v="4538"/>
  </r>
  <r>
    <n v="86850207"/>
    <n v="51"/>
    <x v="0"/>
    <x v="3"/>
    <s v="&gt;=50"/>
    <s v="男"/>
    <n v="19847"/>
  </r>
  <r>
    <n v="84805593"/>
    <n v="59"/>
    <x v="3"/>
    <x v="2"/>
    <s v="&gt;=50"/>
    <s v="男"/>
    <n v="10512"/>
  </r>
  <r>
    <n v="83456081"/>
    <n v="34"/>
    <x v="3"/>
    <x v="3"/>
    <s v="30-39"/>
    <s v="女"/>
    <n v="4444"/>
  </r>
  <r>
    <n v="82953703"/>
    <n v="28"/>
    <x v="3"/>
    <x v="2"/>
    <s v="20-29"/>
    <s v="男"/>
    <n v="2154"/>
  </r>
  <r>
    <n v="86129130"/>
    <n v="44"/>
    <x v="3"/>
    <x v="0"/>
    <s v="40-49"/>
    <s v="男"/>
    <n v="19190"/>
  </r>
  <r>
    <n v="83130602"/>
    <n v="34"/>
    <x v="2"/>
    <x v="3"/>
    <s v="30-39"/>
    <s v="男"/>
    <n v="4490"/>
  </r>
  <r>
    <n v="81984904"/>
    <n v="35"/>
    <x v="3"/>
    <x v="1"/>
    <s v="30-39"/>
    <s v="男"/>
    <n v="3506"/>
  </r>
  <r>
    <n v="82965735"/>
    <n v="42"/>
    <x v="3"/>
    <x v="2"/>
    <s v="40-49"/>
    <s v="女"/>
    <n v="2372"/>
  </r>
  <r>
    <n v="85421830"/>
    <n v="43"/>
    <x v="0"/>
    <x v="2"/>
    <s v="40-49"/>
    <s v="女"/>
    <n v="10231"/>
  </r>
  <r>
    <n v="80517822"/>
    <n v="36"/>
    <x v="3"/>
    <x v="2"/>
    <s v="30-39"/>
    <s v="女"/>
    <n v="5410"/>
  </r>
  <r>
    <n v="84544569"/>
    <n v="44"/>
    <x v="3"/>
    <x v="3"/>
    <s v="40-49"/>
    <s v="女"/>
    <n v="7978"/>
  </r>
  <r>
    <n v="87695138"/>
    <n v="28"/>
    <x v="3"/>
    <x v="3"/>
    <s v="20-29"/>
    <s v="男"/>
    <n v="3867"/>
  </r>
  <r>
    <n v="81604323"/>
    <n v="51"/>
    <x v="3"/>
    <x v="0"/>
    <s v="&gt;=50"/>
    <s v="女"/>
    <n v="2838"/>
  </r>
  <r>
    <n v="81494628"/>
    <n v="30"/>
    <x v="3"/>
    <x v="0"/>
    <s v="30-39"/>
    <s v="女"/>
    <n v="4695"/>
  </r>
  <r>
    <n v="86310574"/>
    <n v="29"/>
    <x v="3"/>
    <x v="3"/>
    <s v="20-29"/>
    <s v="女"/>
    <n v="3339"/>
  </r>
  <r>
    <n v="86564021"/>
    <n v="28"/>
    <x v="3"/>
    <x v="3"/>
    <s v="20-29"/>
    <s v="男"/>
    <n v="2080"/>
  </r>
  <r>
    <n v="80149438"/>
    <n v="25"/>
    <x v="3"/>
    <x v="3"/>
    <s v="20-29"/>
    <s v="女"/>
    <n v="2096"/>
  </r>
  <r>
    <n v="87664832"/>
    <n v="32"/>
    <x v="0"/>
    <x v="3"/>
    <s v="30-39"/>
    <s v="男"/>
    <n v="6209"/>
  </r>
  <r>
    <n v="82509757"/>
    <n v="45"/>
    <x v="3"/>
    <x v="3"/>
    <s v="40-49"/>
    <s v="女"/>
    <n v="18061"/>
  </r>
  <r>
    <n v="85577458"/>
    <n v="39"/>
    <x v="3"/>
    <x v="2"/>
    <s v="30-39"/>
    <s v="女"/>
    <n v="17123"/>
  </r>
  <r>
    <n v="87807398"/>
    <n v="58"/>
    <x v="3"/>
    <x v="2"/>
    <s v="&gt;=50"/>
    <s v="男"/>
    <n v="2372"/>
  </r>
  <r>
    <n v="85974738"/>
    <n v="32"/>
    <x v="3"/>
    <x v="0"/>
    <s v="30-39"/>
    <s v="男"/>
    <n v="4883"/>
  </r>
  <r>
    <n v="84174514"/>
    <n v="39"/>
    <x v="3"/>
    <x v="3"/>
    <s v="30-39"/>
    <s v="男"/>
    <n v="3904"/>
  </r>
  <r>
    <n v="88163272"/>
    <n v="30"/>
    <x v="3"/>
    <x v="3"/>
    <s v="30-39"/>
    <s v="女"/>
    <n v="4627"/>
  </r>
  <r>
    <n v="89156966"/>
    <n v="36"/>
    <x v="3"/>
    <x v="2"/>
    <s v="30-39"/>
    <s v="女"/>
    <n v="7094"/>
  </r>
  <r>
    <n v="87959470"/>
    <n v="46"/>
    <x v="2"/>
    <x v="0"/>
    <s v="40-49"/>
    <s v="女"/>
    <n v="3423"/>
  </r>
  <r>
    <n v="87278544"/>
    <n v="28"/>
    <x v="3"/>
    <x v="3"/>
    <s v="20-29"/>
    <s v="女"/>
    <n v="6674"/>
  </r>
  <r>
    <n v="83594318"/>
    <n v="50"/>
    <x v="3"/>
    <x v="3"/>
    <s v="&gt;=50"/>
    <s v="女"/>
    <n v="16880"/>
  </r>
  <r>
    <n v="88474457"/>
    <n v="40"/>
    <x v="0"/>
    <x v="2"/>
    <s v="40-49"/>
    <s v="男"/>
    <n v="9094"/>
  </r>
  <r>
    <n v="83904077"/>
    <n v="52"/>
    <x v="0"/>
    <x v="3"/>
    <s v="&gt;=50"/>
    <s v="男"/>
    <n v="8446"/>
  </r>
  <r>
    <n v="84528077"/>
    <n v="30"/>
    <x v="3"/>
    <x v="2"/>
    <s v="30-39"/>
    <s v="女"/>
    <n v="11916"/>
  </r>
  <r>
    <n v="88037704"/>
    <n v="39"/>
    <x v="3"/>
    <x v="0"/>
    <s v="30-39"/>
    <s v="男"/>
    <n v="4534"/>
  </r>
  <r>
    <n v="87032033"/>
    <n v="31"/>
    <x v="0"/>
    <x v="2"/>
    <s v="30-39"/>
    <s v="女"/>
    <n v="9852"/>
  </r>
  <r>
    <n v="85861460"/>
    <n v="41"/>
    <x v="0"/>
    <x v="0"/>
    <s v="40-49"/>
    <s v="男"/>
    <n v="6151"/>
  </r>
  <r>
    <n v="85207559"/>
    <n v="31"/>
    <x v="0"/>
    <x v="3"/>
    <s v="30-39"/>
    <s v="女"/>
    <n v="2302"/>
  </r>
  <r>
    <n v="83726941"/>
    <n v="44"/>
    <x v="3"/>
    <x v="3"/>
    <s v="40-49"/>
    <s v="男"/>
    <n v="2362"/>
  </r>
  <r>
    <n v="81016852"/>
    <n v="42"/>
    <x v="3"/>
    <x v="1"/>
    <s v="40-49"/>
    <s v="男"/>
    <n v="17861"/>
  </r>
  <r>
    <n v="80292919"/>
    <n v="55"/>
    <x v="3"/>
    <x v="0"/>
    <s v="&gt;=50"/>
    <s v="女"/>
    <n v="19187"/>
  </r>
  <r>
    <n v="84902161"/>
    <n v="56"/>
    <x v="2"/>
    <x v="2"/>
    <s v="&gt;=50"/>
    <s v="男"/>
    <n v="19717"/>
  </r>
  <r>
    <n v="84298293"/>
    <n v="40"/>
    <x v="3"/>
    <x v="0"/>
    <s v="40-49"/>
    <s v="男"/>
    <n v="3544"/>
  </r>
  <r>
    <n v="87201379"/>
    <n v="34"/>
    <x v="3"/>
    <x v="3"/>
    <s v="30-39"/>
    <s v="男"/>
    <n v="8500"/>
  </r>
  <r>
    <n v="80213646"/>
    <n v="40"/>
    <x v="3"/>
    <x v="3"/>
    <s v="40-49"/>
    <s v="男"/>
    <n v="4661"/>
  </r>
  <r>
    <n v="83014223"/>
    <n v="41"/>
    <x v="0"/>
    <x v="3"/>
    <s v="40-49"/>
    <s v="女"/>
    <n v="4103"/>
  </r>
  <r>
    <n v="88679902"/>
    <n v="35"/>
    <x v="3"/>
    <x v="2"/>
    <s v="30-39"/>
    <s v="男"/>
    <n v="4249"/>
  </r>
  <r>
    <n v="81301265"/>
    <n v="51"/>
    <x v="2"/>
    <x v="3"/>
    <s v="&gt;=50"/>
    <s v="男"/>
    <n v="14026"/>
  </r>
  <r>
    <n v="84786094"/>
    <n v="38"/>
    <x v="0"/>
    <x v="0"/>
    <s v="30-39"/>
    <s v="女"/>
    <n v="6893"/>
  </r>
  <r>
    <n v="82767312"/>
    <n v="34"/>
    <x v="0"/>
    <x v="0"/>
    <s v="30-39"/>
    <s v="女"/>
    <n v="6125"/>
  </r>
  <r>
    <n v="85680193"/>
    <n v="25"/>
    <x v="3"/>
    <x v="1"/>
    <s v="20-29"/>
    <s v="男"/>
    <n v="3669"/>
  </r>
  <r>
    <n v="80461921"/>
    <n v="58"/>
    <x v="3"/>
    <x v="2"/>
    <s v="&gt;=50"/>
    <s v="女"/>
    <n v="10008"/>
  </r>
  <r>
    <n v="89718004"/>
    <n v="40"/>
    <x v="3"/>
    <x v="2"/>
    <s v="40-49"/>
    <s v="男"/>
    <n v="2387"/>
  </r>
  <r>
    <n v="82014220"/>
    <n v="36"/>
    <x v="0"/>
    <x v="3"/>
    <s v="30-39"/>
    <s v="女"/>
    <n v="4639"/>
  </r>
  <r>
    <n v="81309054"/>
    <n v="48"/>
    <x v="3"/>
    <x v="3"/>
    <s v="40-49"/>
    <s v="男"/>
    <n v="7898"/>
  </r>
  <r>
    <n v="84925766"/>
    <n v="27"/>
    <x v="0"/>
    <x v="3"/>
    <s v="20-29"/>
    <s v="女"/>
    <n v="2534"/>
  </r>
  <r>
    <n v="86105044"/>
    <n v="51"/>
    <x v="3"/>
    <x v="0"/>
    <s v="&gt;=50"/>
    <s v="女"/>
    <n v="13142"/>
  </r>
  <r>
    <n v="88310410"/>
    <n v="24"/>
    <x v="3"/>
    <x v="3"/>
    <s v="20-29"/>
    <s v="女"/>
    <n v="1611"/>
  </r>
  <r>
    <n v="84964737"/>
    <n v="35"/>
    <x v="3"/>
    <x v="3"/>
    <s v="30-39"/>
    <s v="女"/>
    <n v="5363"/>
  </r>
  <r>
    <n v="81369818"/>
    <n v="27"/>
    <x v="0"/>
    <x v="1"/>
    <s v="20-29"/>
    <s v="男"/>
    <n v="5071"/>
  </r>
  <r>
    <n v="80435362"/>
    <n v="55"/>
    <x v="0"/>
    <x v="2"/>
    <s v="&gt;=50"/>
    <s v="男"/>
    <n v="13695"/>
  </r>
  <r>
    <n v="80646270"/>
    <n v="56"/>
    <x v="3"/>
    <x v="3"/>
    <s v="&gt;=50"/>
    <s v="男"/>
    <n v="13402"/>
  </r>
  <r>
    <n v="84689692"/>
    <n v="34"/>
    <x v="3"/>
    <x v="1"/>
    <s v="30-39"/>
    <s v="女"/>
    <n v="2029"/>
  </r>
  <r>
    <n v="84606021"/>
    <n v="40"/>
    <x v="3"/>
    <x v="1"/>
    <s v="40-49"/>
    <s v="女"/>
    <n v="6377"/>
  </r>
  <r>
    <n v="84510412"/>
    <n v="34"/>
    <x v="3"/>
    <x v="3"/>
    <s v="30-39"/>
    <s v="男"/>
    <n v="5429"/>
  </r>
  <r>
    <n v="83578945"/>
    <n v="31"/>
    <x v="0"/>
    <x v="3"/>
    <s v="30-39"/>
    <s v="女"/>
    <n v="2785"/>
  </r>
  <r>
    <n v="84291775"/>
    <n v="35"/>
    <x v="0"/>
    <x v="2"/>
    <s v="30-39"/>
    <s v="女"/>
    <n v="4614"/>
  </r>
  <r>
    <n v="87311912"/>
    <n v="38"/>
    <x v="3"/>
    <x v="3"/>
    <s v="30-39"/>
    <s v="男"/>
    <n v="2610"/>
  </r>
  <r>
    <n v="80611879"/>
    <n v="34"/>
    <x v="3"/>
    <x v="2"/>
    <s v="30-39"/>
    <s v="女"/>
    <n v="6687"/>
  </r>
  <r>
    <n v="84138739"/>
    <n v="28"/>
    <x v="0"/>
    <x v="3"/>
    <s v="20-29"/>
    <s v="男"/>
    <n v="4724"/>
  </r>
  <r>
    <n v="80659279"/>
    <n v="31"/>
    <x v="3"/>
    <x v="2"/>
    <s v="30-39"/>
    <s v="男"/>
    <n v="6179"/>
  </r>
  <r>
    <n v="86040314"/>
    <n v="39"/>
    <x v="0"/>
    <x v="2"/>
    <s v="30-39"/>
    <s v="男"/>
    <n v="6120"/>
  </r>
  <r>
    <n v="86580367"/>
    <n v="51"/>
    <x v="0"/>
    <x v="3"/>
    <s v="&gt;=50"/>
    <s v="男"/>
    <n v="10596"/>
  </r>
  <r>
    <n v="87153011"/>
    <n v="41"/>
    <x v="3"/>
    <x v="3"/>
    <s v="40-49"/>
    <s v="女"/>
    <n v="5467"/>
  </r>
  <r>
    <n v="82441477"/>
    <n v="37"/>
    <x v="3"/>
    <x v="1"/>
    <s v="30-39"/>
    <s v="男"/>
    <n v="2996"/>
  </r>
  <r>
    <n v="83656326"/>
    <n v="33"/>
    <x v="0"/>
    <x v="1"/>
    <s v="30-39"/>
    <s v="男"/>
    <n v="9998"/>
  </r>
  <r>
    <n v="80747812"/>
    <n v="32"/>
    <x v="0"/>
    <x v="1"/>
    <s v="30-39"/>
    <s v="男"/>
    <n v="4078"/>
  </r>
  <r>
    <n v="88861394"/>
    <n v="39"/>
    <x v="3"/>
    <x v="0"/>
    <s v="30-39"/>
    <s v="男"/>
    <n v="10920"/>
  </r>
  <r>
    <n v="87939360"/>
    <n v="25"/>
    <x v="0"/>
    <x v="1"/>
    <s v="20-29"/>
    <s v="男"/>
    <n v="6232"/>
  </r>
  <r>
    <n v="88849749"/>
    <n v="52"/>
    <x v="3"/>
    <x v="0"/>
    <s v="&gt;=50"/>
    <s v="女"/>
    <n v="13247"/>
  </r>
  <r>
    <n v="89134081"/>
    <n v="43"/>
    <x v="3"/>
    <x v="3"/>
    <s v="40-49"/>
    <s v="女"/>
    <n v="4081"/>
  </r>
  <r>
    <n v="86900488"/>
    <n v="27"/>
    <x v="0"/>
    <x v="3"/>
    <s v="20-29"/>
    <s v="女"/>
    <n v="5769"/>
  </r>
  <r>
    <n v="85716407"/>
    <n v="27"/>
    <x v="3"/>
    <x v="2"/>
    <s v="20-29"/>
    <s v="女"/>
    <n v="2394"/>
  </r>
  <r>
    <n v="80593962"/>
    <n v="26"/>
    <x v="3"/>
    <x v="1"/>
    <s v="20-29"/>
    <s v="男"/>
    <n v="3904"/>
  </r>
  <r>
    <n v="89209785"/>
    <n v="42"/>
    <x v="2"/>
    <x v="3"/>
    <s v="40-49"/>
    <s v="女"/>
    <n v="16799"/>
  </r>
  <r>
    <n v="87427546"/>
    <n v="52"/>
    <x v="3"/>
    <x v="2"/>
    <s v="&gt;=50"/>
    <s v="女"/>
    <n v="2950"/>
  </r>
  <r>
    <n v="83966295"/>
    <n v="37"/>
    <x v="1"/>
    <x v="3"/>
    <s v="30-39"/>
    <s v="女"/>
    <n v="3629"/>
  </r>
  <r>
    <n v="81360108"/>
    <n v="35"/>
    <x v="1"/>
    <x v="0"/>
    <s v="30-39"/>
    <s v="男"/>
    <n v="9362"/>
  </r>
  <r>
    <n v="85002931"/>
    <n v="25"/>
    <x v="1"/>
    <x v="3"/>
    <s v="20-29"/>
    <s v="男"/>
    <n v="3229"/>
  </r>
  <r>
    <n v="84201536"/>
    <n v="26"/>
    <x v="1"/>
    <x v="3"/>
    <s v="20-29"/>
    <s v="男"/>
    <n v="3578"/>
  </r>
  <r>
    <n v="84016024"/>
    <n v="29"/>
    <x v="2"/>
    <x v="3"/>
    <s v="20-29"/>
    <s v="男"/>
    <n v="7988"/>
  </r>
  <r>
    <n v="85802431"/>
    <n v="49"/>
    <x v="1"/>
    <x v="0"/>
    <s v="40-49"/>
    <s v="男"/>
    <n v="4284"/>
  </r>
  <r>
    <n v="83271973"/>
    <n v="29"/>
    <x v="1"/>
    <x v="1"/>
    <s v="20-29"/>
    <s v="女"/>
    <n v="7553"/>
  </r>
  <r>
    <n v="82836814"/>
    <n v="54"/>
    <x v="1"/>
    <x v="3"/>
    <s v="&gt;=50"/>
    <s v="女"/>
    <n v="17328"/>
  </r>
  <r>
    <n v="89512450"/>
    <n v="58"/>
    <x v="1"/>
    <x v="3"/>
    <s v="&gt;=50"/>
    <s v="女"/>
    <n v="19701"/>
  </r>
  <r>
    <n v="85758607"/>
    <n v="55"/>
    <x v="1"/>
    <x v="2"/>
    <s v="&gt;=50"/>
    <s v="男"/>
    <n v="14732"/>
  </r>
  <r>
    <n v="86762778"/>
    <n v="36"/>
    <x v="0"/>
    <x v="2"/>
    <s v="30-39"/>
    <s v="女"/>
    <n v="9278"/>
  </r>
  <r>
    <n v="82618133"/>
    <n v="31"/>
    <x v="0"/>
    <x v="2"/>
    <s v="30-39"/>
    <s v="女"/>
    <n v="1359"/>
  </r>
  <r>
    <n v="83027613"/>
    <n v="30"/>
    <x v="0"/>
    <x v="2"/>
    <s v="30-39"/>
    <s v="女"/>
    <n v="4779"/>
  </r>
  <r>
    <n v="80267190"/>
    <n v="31"/>
    <x v="1"/>
    <x v="4"/>
    <s v="30-39"/>
    <s v="女"/>
    <n v="16422"/>
  </r>
  <r>
    <n v="89019785"/>
    <n v="34"/>
    <x v="1"/>
    <x v="2"/>
    <s v="30-39"/>
    <s v="男"/>
    <n v="2996"/>
  </r>
  <r>
    <n v="83602642"/>
    <n v="31"/>
    <x v="1"/>
    <x v="3"/>
    <s v="30-39"/>
    <s v="女"/>
    <n v="1261"/>
  </r>
  <r>
    <n v="86499405"/>
    <n v="27"/>
    <x v="1"/>
    <x v="1"/>
    <s v="20-29"/>
    <s v="男"/>
    <n v="2099"/>
  </r>
  <r>
    <n v="83101687"/>
    <n v="36"/>
    <x v="1"/>
    <x v="2"/>
    <s v="30-39"/>
    <s v="男"/>
    <n v="5810"/>
  </r>
  <r>
    <n v="88630082"/>
    <n v="36"/>
    <x v="0"/>
    <x v="2"/>
    <s v="30-39"/>
    <s v="女"/>
    <n v="5647"/>
  </r>
  <r>
    <n v="87984104"/>
    <n v="47"/>
    <x v="1"/>
    <x v="3"/>
    <s v="40-49"/>
    <s v="男"/>
    <n v="3420"/>
  </r>
  <r>
    <n v="80518687"/>
    <n v="25"/>
    <x v="0"/>
    <x v="0"/>
    <s v="20-29"/>
    <s v="男"/>
    <n v="4400"/>
  </r>
  <r>
    <n v="86658400"/>
    <n v="37"/>
    <x v="1"/>
    <x v="0"/>
    <s v="30-39"/>
    <s v="男"/>
    <n v="3500"/>
  </r>
  <r>
    <n v="82466121"/>
    <n v="56"/>
    <x v="1"/>
    <x v="0"/>
    <s v="&gt;=50"/>
    <s v="女"/>
    <n v="2066"/>
  </r>
  <r>
    <n v="83729342"/>
    <n v="47"/>
    <x v="1"/>
    <x v="2"/>
    <s v="40-49"/>
    <s v="女"/>
    <n v="17169"/>
  </r>
  <r>
    <n v="86244677"/>
    <n v="24"/>
    <x v="0"/>
    <x v="1"/>
    <s v="20-29"/>
    <s v="女"/>
    <n v="4162"/>
  </r>
  <r>
    <n v="85629480"/>
    <n v="32"/>
    <x v="0"/>
    <x v="4"/>
    <s v="30-39"/>
    <s v="男"/>
    <n v="9204"/>
  </r>
  <r>
    <n v="83177149"/>
    <n v="34"/>
    <x v="1"/>
    <x v="3"/>
    <s v="30-39"/>
    <s v="女"/>
    <n v="3294"/>
  </r>
  <r>
    <n v="88901454"/>
    <n v="41"/>
    <x v="1"/>
    <x v="4"/>
    <s v="40-49"/>
    <s v="男"/>
    <n v="2127"/>
  </r>
  <r>
    <n v="89839809"/>
    <n v="40"/>
    <x v="1"/>
    <x v="2"/>
    <s v="40-49"/>
    <s v="男"/>
    <n v="3975"/>
  </r>
  <r>
    <n v="88956047"/>
    <n v="31"/>
    <x v="0"/>
    <x v="0"/>
    <s v="30-39"/>
    <s v="男"/>
    <n v="10793"/>
  </r>
  <r>
    <n v="85555115"/>
    <n v="46"/>
    <x v="0"/>
    <x v="3"/>
    <s v="40-49"/>
    <s v="男"/>
    <n v="10096"/>
  </r>
  <r>
    <n v="81259445"/>
    <n v="39"/>
    <x v="1"/>
    <x v="3"/>
    <s v="30-39"/>
    <s v="女"/>
    <n v="3646"/>
  </r>
  <r>
    <n v="88658854"/>
    <n v="31"/>
    <x v="1"/>
    <x v="4"/>
    <s v="30-39"/>
    <s v="女"/>
    <n v="7446"/>
  </r>
  <r>
    <n v="86982818"/>
    <n v="45"/>
    <x v="1"/>
    <x v="3"/>
    <s v="40-49"/>
    <s v="男"/>
    <n v="10851"/>
  </r>
  <r>
    <n v="84655875"/>
    <n v="31"/>
    <x v="2"/>
    <x v="0"/>
    <s v="30-39"/>
    <s v="女"/>
    <n v="2109"/>
  </r>
  <r>
    <n v="81507600"/>
    <n v="31"/>
    <x v="1"/>
    <x v="3"/>
    <s v="30-39"/>
    <s v="男"/>
    <n v="3722"/>
  </r>
  <r>
    <n v="83869139"/>
    <n v="45"/>
    <x v="1"/>
    <x v="3"/>
    <s v="40-49"/>
    <s v="男"/>
    <n v="9380"/>
  </r>
  <r>
    <n v="88169525"/>
    <n v="48"/>
    <x v="0"/>
    <x v="3"/>
    <s v="40-49"/>
    <s v="男"/>
    <n v="5486"/>
  </r>
  <r>
    <n v="83943346"/>
    <n v="34"/>
    <x v="2"/>
    <x v="2"/>
    <s v="30-39"/>
    <s v="女"/>
    <n v="2742"/>
  </r>
  <r>
    <n v="81568795"/>
    <n v="40"/>
    <x v="1"/>
    <x v="1"/>
    <s v="40-49"/>
    <s v="男"/>
    <n v="13757"/>
  </r>
  <r>
    <n v="84556392"/>
    <n v="28"/>
    <x v="0"/>
    <x v="3"/>
    <s v="20-29"/>
    <s v="男"/>
    <n v="8463"/>
  </r>
  <r>
    <n v="88381990"/>
    <n v="44"/>
    <x v="1"/>
    <x v="3"/>
    <s v="40-49"/>
    <s v="男"/>
    <n v="3162"/>
  </r>
  <r>
    <n v="89212854"/>
    <n v="53"/>
    <x v="1"/>
    <x v="3"/>
    <s v="&gt;=50"/>
    <s v="男"/>
    <n v="16598"/>
  </r>
  <r>
    <n v="81361340"/>
    <n v="49"/>
    <x v="1"/>
    <x v="2"/>
    <s v="40-49"/>
    <s v="男"/>
    <n v="6651"/>
  </r>
  <r>
    <n v="82081072"/>
    <n v="40"/>
    <x v="1"/>
    <x v="3"/>
    <s v="40-49"/>
    <s v="男"/>
    <n v="2345"/>
  </r>
  <r>
    <n v="81242429"/>
    <n v="44"/>
    <x v="1"/>
    <x v="3"/>
    <s v="40-49"/>
    <s v="男"/>
    <n v="3420"/>
  </r>
  <r>
    <n v="81834942"/>
    <n v="33"/>
    <x v="0"/>
    <x v="3"/>
    <s v="30-39"/>
    <s v="男"/>
    <n v="4373"/>
  </r>
  <r>
    <n v="86404810"/>
    <n v="34"/>
    <x v="0"/>
    <x v="3"/>
    <s v="30-39"/>
    <s v="男"/>
    <n v="4759"/>
  </r>
  <r>
    <n v="86322338"/>
    <n v="30"/>
    <x v="0"/>
    <x v="1"/>
    <s v="30-39"/>
    <s v="男"/>
    <n v="5301"/>
  </r>
  <r>
    <n v="83359958"/>
    <n v="42"/>
    <x v="1"/>
    <x v="0"/>
    <s v="40-49"/>
    <s v="女"/>
    <n v="3673"/>
  </r>
  <r>
    <n v="87680092"/>
    <n v="44"/>
    <x v="0"/>
    <x v="4"/>
    <s v="40-49"/>
    <s v="女"/>
    <n v="4768"/>
  </r>
  <r>
    <n v="82741842"/>
    <n v="30"/>
    <x v="1"/>
    <x v="3"/>
    <s v="30-39"/>
    <s v="男"/>
    <n v="1274"/>
  </r>
  <r>
    <n v="87171490"/>
    <n v="57"/>
    <x v="1"/>
    <x v="0"/>
    <s v="&gt;=50"/>
    <s v="男"/>
    <n v="4900"/>
  </r>
  <r>
    <n v="86530812"/>
    <n v="49"/>
    <x v="1"/>
    <x v="2"/>
    <s v="40-49"/>
    <s v="男"/>
    <n v="10466"/>
  </r>
  <r>
    <n v="87751291"/>
    <n v="34"/>
    <x v="1"/>
    <x v="3"/>
    <s v="30-39"/>
    <s v="男"/>
    <n v="17007"/>
  </r>
  <r>
    <n v="83835965"/>
    <n v="28"/>
    <x v="0"/>
    <x v="3"/>
    <s v="20-29"/>
    <s v="男"/>
    <n v="2909"/>
  </r>
  <r>
    <n v="87667378"/>
    <n v="29"/>
    <x v="0"/>
    <x v="3"/>
    <s v="20-29"/>
    <s v="女"/>
    <n v="5765"/>
  </r>
  <r>
    <n v="89469714"/>
    <n v="34"/>
    <x v="0"/>
    <x v="2"/>
    <s v="30-39"/>
    <s v="女"/>
    <n v="4599"/>
  </r>
  <r>
    <n v="84774070"/>
    <n v="35"/>
    <x v="0"/>
    <x v="1"/>
    <s v="30-39"/>
    <s v="男"/>
    <n v="2404"/>
  </r>
  <r>
    <n v="80958386"/>
    <n v="24"/>
    <x v="1"/>
    <x v="3"/>
    <s v="20-29"/>
    <s v="男"/>
    <n v="3172"/>
  </r>
  <r>
    <n v="82964117"/>
    <n v="24"/>
    <x v="0"/>
    <x v="0"/>
    <s v="20-29"/>
    <s v="女"/>
    <n v="2033"/>
  </r>
  <r>
    <n v="85679142"/>
    <n v="44"/>
    <x v="1"/>
    <x v="1"/>
    <s v="40-49"/>
    <s v="男"/>
    <n v="10209"/>
  </r>
  <r>
    <n v="86607362"/>
    <n v="29"/>
    <x v="0"/>
    <x v="3"/>
    <s v="20-29"/>
    <s v="男"/>
    <n v="8620"/>
  </r>
  <r>
    <n v="81020214"/>
    <n v="30"/>
    <x v="2"/>
    <x v="3"/>
    <s v="30-39"/>
    <s v="男"/>
    <n v="2064"/>
  </r>
  <r>
    <n v="84537666"/>
    <n v="55"/>
    <x v="1"/>
    <x v="2"/>
    <s v="&gt;=50"/>
    <s v="男"/>
    <n v="4035"/>
  </r>
  <r>
    <n v="83145764"/>
    <n v="33"/>
    <x v="1"/>
    <x v="2"/>
    <s v="30-39"/>
    <s v="女"/>
    <n v="3838"/>
  </r>
  <r>
    <n v="87873696"/>
    <n v="47"/>
    <x v="0"/>
    <x v="3"/>
    <s v="40-49"/>
    <s v="女"/>
    <n v="4591"/>
  </r>
  <r>
    <n v="89785486"/>
    <n v="28"/>
    <x v="1"/>
    <x v="0"/>
    <s v="20-29"/>
    <s v="男"/>
    <n v="2561"/>
  </r>
  <r>
    <n v="86319924"/>
    <n v="28"/>
    <x v="1"/>
    <x v="3"/>
    <s v="20-29"/>
    <s v="男"/>
    <n v="1563"/>
  </r>
  <r>
    <n v="84183620"/>
    <n v="28"/>
    <x v="0"/>
    <x v="3"/>
    <s v="20-29"/>
    <s v="男"/>
    <n v="4898"/>
  </r>
  <r>
    <n v="82555926"/>
    <n v="49"/>
    <x v="1"/>
    <x v="0"/>
    <s v="40-49"/>
    <s v="女"/>
    <n v="4789"/>
  </r>
  <r>
    <n v="80998266"/>
    <n v="29"/>
    <x v="1"/>
    <x v="1"/>
    <s v="20-29"/>
    <s v="女"/>
    <n v="3180"/>
  </r>
  <r>
    <n v="88669523"/>
    <n v="28"/>
    <x v="1"/>
    <x v="1"/>
    <s v="20-29"/>
    <s v="男"/>
    <n v="6549"/>
  </r>
  <r>
    <n v="84788786"/>
    <n v="33"/>
    <x v="1"/>
    <x v="4"/>
    <s v="30-39"/>
    <s v="男"/>
    <n v="6388"/>
  </r>
  <r>
    <n v="81370990"/>
    <n v="32"/>
    <x v="1"/>
    <x v="3"/>
    <s v="30-39"/>
    <s v="男"/>
    <n v="11244"/>
  </r>
  <r>
    <n v="89592038"/>
    <n v="54"/>
    <x v="1"/>
    <x v="2"/>
    <s v="&gt;=50"/>
    <s v="女"/>
    <n v="16032"/>
  </r>
  <r>
    <n v="80699884"/>
    <n v="29"/>
    <x v="1"/>
    <x v="2"/>
    <s v="20-29"/>
    <s v="男"/>
    <n v="2362"/>
  </r>
  <r>
    <n v="84552020"/>
    <n v="44"/>
    <x v="1"/>
    <x v="3"/>
    <s v="40-49"/>
    <s v="男"/>
    <n v="16328"/>
  </r>
  <r>
    <n v="86137490"/>
    <n v="39"/>
    <x v="1"/>
    <x v="3"/>
    <s v="30-39"/>
    <s v="女"/>
    <n v="8376"/>
  </r>
  <r>
    <n v="80235482"/>
    <n v="46"/>
    <x v="0"/>
    <x v="3"/>
    <s v="40-49"/>
    <s v="女"/>
    <n v="16606"/>
  </r>
  <r>
    <n v="84629868"/>
    <n v="35"/>
    <x v="1"/>
    <x v="3"/>
    <s v="30-39"/>
    <s v="女"/>
    <n v="8606"/>
  </r>
  <r>
    <n v="80539309"/>
    <n v="23"/>
    <x v="1"/>
    <x v="1"/>
    <s v="20-29"/>
    <s v="男"/>
    <n v="2272"/>
  </r>
  <r>
    <n v="89422450"/>
    <n v="40"/>
    <x v="1"/>
    <x v="2"/>
    <s v="40-49"/>
    <s v="男"/>
    <n v="2018"/>
  </r>
  <r>
    <n v="84373404"/>
    <n v="34"/>
    <x v="0"/>
    <x v="3"/>
    <s v="30-39"/>
    <s v="男"/>
    <n v="7083"/>
  </r>
  <r>
    <n v="83938200"/>
    <n v="31"/>
    <x v="1"/>
    <x v="3"/>
    <s v="30-39"/>
    <s v="女"/>
    <n v="4084"/>
  </r>
  <r>
    <n v="84879694"/>
    <n v="50"/>
    <x v="1"/>
    <x v="4"/>
    <s v="&gt;=50"/>
    <s v="男"/>
    <n v="14411"/>
  </r>
  <r>
    <n v="86339147"/>
    <n v="34"/>
    <x v="0"/>
    <x v="0"/>
    <s v="30-39"/>
    <s v="男"/>
    <n v="2308"/>
  </r>
  <r>
    <n v="89489421"/>
    <n v="42"/>
    <x v="1"/>
    <x v="3"/>
    <s v="40-49"/>
    <s v="男"/>
    <n v="4841"/>
  </r>
  <r>
    <n v="87539485"/>
    <n v="37"/>
    <x v="1"/>
    <x v="3"/>
    <s v="30-39"/>
    <s v="男"/>
    <n v="4285"/>
  </r>
  <r>
    <n v="81591004"/>
    <n v="29"/>
    <x v="1"/>
    <x v="1"/>
    <s v="20-29"/>
    <s v="女"/>
    <n v="9715"/>
  </r>
  <r>
    <n v="84624434"/>
    <n v="33"/>
    <x v="1"/>
    <x v="3"/>
    <s v="30-39"/>
    <s v="男"/>
    <n v="4320"/>
  </r>
  <r>
    <n v="85311711"/>
    <n v="45"/>
    <x v="1"/>
    <x v="3"/>
    <s v="40-49"/>
    <s v="男"/>
    <n v="2132"/>
  </r>
  <r>
    <n v="89003522"/>
    <n v="42"/>
    <x v="1"/>
    <x v="3"/>
    <s v="40-49"/>
    <s v="男"/>
    <n v="10124"/>
  </r>
  <r>
    <n v="89426182"/>
    <n v="40"/>
    <x v="0"/>
    <x v="0"/>
    <s v="40-49"/>
    <s v="男"/>
    <n v="5473"/>
  </r>
  <r>
    <n v="88578346"/>
    <n v="33"/>
    <x v="1"/>
    <x v="2"/>
    <s v="30-39"/>
    <s v="男"/>
    <n v="5207"/>
  </r>
  <r>
    <n v="87550554"/>
    <n v="40"/>
    <x v="2"/>
    <x v="0"/>
    <s v="40-49"/>
    <s v="男"/>
    <n v="16437"/>
  </r>
  <r>
    <n v="84927193"/>
    <n v="24"/>
    <x v="1"/>
    <x v="0"/>
    <s v="20-29"/>
    <s v="男"/>
    <n v="2296"/>
  </r>
  <r>
    <n v="80673802"/>
    <n v="40"/>
    <x v="1"/>
    <x v="0"/>
    <s v="40-49"/>
    <s v="男"/>
    <n v="4069"/>
  </r>
  <r>
    <n v="82835258"/>
    <n v="45"/>
    <x v="1"/>
    <x v="2"/>
    <s v="40-49"/>
    <s v="男"/>
    <n v="7441"/>
  </r>
  <r>
    <n v="81338935"/>
    <n v="35"/>
    <x v="0"/>
    <x v="2"/>
    <s v="30-39"/>
    <s v="女"/>
    <n v="2430"/>
  </r>
  <r>
    <n v="89149313"/>
    <n v="32"/>
    <x v="1"/>
    <x v="0"/>
    <s v="30-39"/>
    <s v="女"/>
    <n v="5878"/>
  </r>
  <r>
    <n v="88463785"/>
    <n v="36"/>
    <x v="0"/>
    <x v="2"/>
    <s v="30-39"/>
    <s v="男"/>
    <n v="2644"/>
  </r>
  <r>
    <n v="87969645"/>
    <n v="48"/>
    <x v="0"/>
    <x v="2"/>
    <s v="40-49"/>
    <s v="女"/>
    <n v="6439"/>
  </r>
  <r>
    <n v="85621894"/>
    <n v="29"/>
    <x v="1"/>
    <x v="3"/>
    <s v="20-29"/>
    <s v="男"/>
    <n v="2451"/>
  </r>
  <r>
    <n v="85553262"/>
    <n v="33"/>
    <x v="0"/>
    <x v="2"/>
    <s v="30-39"/>
    <s v="男"/>
    <n v="6392"/>
  </r>
  <r>
    <n v="80232991"/>
    <n v="30"/>
    <x v="0"/>
    <x v="3"/>
    <s v="30-39"/>
    <s v="男"/>
    <n v="9714"/>
  </r>
  <r>
    <n v="83736162"/>
    <n v="38"/>
    <x v="2"/>
    <x v="2"/>
    <s v="30-39"/>
    <s v="男"/>
    <n v="6077"/>
  </r>
  <r>
    <n v="86986723"/>
    <n v="35"/>
    <x v="1"/>
    <x v="3"/>
    <s v="30-39"/>
    <s v="男"/>
    <n v="2450"/>
  </r>
  <r>
    <n v="89274391"/>
    <n v="30"/>
    <x v="0"/>
    <x v="2"/>
    <s v="30-39"/>
    <s v="男"/>
    <n v="9250"/>
  </r>
  <r>
    <n v="86452027"/>
    <n v="35"/>
    <x v="1"/>
    <x v="3"/>
    <s v="30-39"/>
    <s v="女"/>
    <n v="2074"/>
  </r>
  <r>
    <n v="81635002"/>
    <n v="53"/>
    <x v="1"/>
    <x v="4"/>
    <s v="&gt;=50"/>
    <s v="女"/>
    <n v="10169"/>
  </r>
  <r>
    <n v="88215338"/>
    <n v="38"/>
    <x v="1"/>
    <x v="3"/>
    <s v="30-39"/>
    <s v="男"/>
    <n v="4855"/>
  </r>
  <r>
    <n v="86068967"/>
    <n v="32"/>
    <x v="1"/>
    <x v="2"/>
    <s v="30-39"/>
    <s v="男"/>
    <n v="4087"/>
  </r>
  <r>
    <n v="81485814"/>
    <n v="48"/>
    <x v="1"/>
    <x v="2"/>
    <s v="40-49"/>
    <s v="女"/>
    <n v="2367"/>
  </r>
  <r>
    <n v="82754538"/>
    <n v="34"/>
    <x v="1"/>
    <x v="2"/>
    <s v="30-39"/>
    <s v="男"/>
    <n v="2972"/>
  </r>
  <r>
    <n v="87764205"/>
    <n v="55"/>
    <x v="0"/>
    <x v="4"/>
    <s v="&gt;=50"/>
    <s v="男"/>
    <n v="19586"/>
  </r>
  <r>
    <n v="82741154"/>
    <n v="34"/>
    <x v="1"/>
    <x v="2"/>
    <s v="30-39"/>
    <s v="男"/>
    <n v="5484"/>
  </r>
  <r>
    <n v="82954542"/>
    <n v="26"/>
    <x v="1"/>
    <x v="3"/>
    <s v="20-29"/>
    <s v="女"/>
    <n v="2061"/>
  </r>
  <r>
    <n v="87021290"/>
    <n v="38"/>
    <x v="0"/>
    <x v="3"/>
    <s v="30-39"/>
    <s v="男"/>
    <n v="9924"/>
  </r>
  <r>
    <n v="89503251"/>
    <n v="38"/>
    <x v="0"/>
    <x v="3"/>
    <s v="30-39"/>
    <s v="女"/>
    <n v="4198"/>
  </r>
  <r>
    <n v="89729860"/>
    <n v="36"/>
    <x v="0"/>
    <x v="2"/>
    <s v="30-39"/>
    <s v="女"/>
    <n v="6815"/>
  </r>
  <r>
    <n v="82719431"/>
    <n v="29"/>
    <x v="1"/>
    <x v="1"/>
    <s v="20-29"/>
    <s v="男"/>
    <n v="4723"/>
  </r>
  <r>
    <n v="87816905"/>
    <n v="35"/>
    <x v="1"/>
    <x v="2"/>
    <s v="30-39"/>
    <s v="女"/>
    <n v="6142"/>
  </r>
  <r>
    <n v="80432745"/>
    <n v="39"/>
    <x v="0"/>
    <x v="3"/>
    <s v="30-39"/>
    <s v="男"/>
    <n v="8237"/>
  </r>
  <r>
    <n v="87626949"/>
    <n v="29"/>
    <x v="1"/>
    <x v="1"/>
    <s v="20-29"/>
    <s v="男"/>
    <n v="8853"/>
  </r>
  <r>
    <n v="83428958"/>
    <n v="50"/>
    <x v="0"/>
    <x v="3"/>
    <s v="&gt;=50"/>
    <s v="男"/>
    <n v="19331"/>
  </r>
  <r>
    <n v="87472176"/>
    <n v="23"/>
    <x v="1"/>
    <x v="3"/>
    <s v="20-29"/>
    <s v="男"/>
    <n v="2073"/>
  </r>
  <r>
    <n v="82700410"/>
    <n v="36"/>
    <x v="1"/>
    <x v="2"/>
    <s v="30-39"/>
    <s v="男"/>
    <n v="5562"/>
  </r>
  <r>
    <n v="83921210"/>
    <n v="42"/>
    <x v="1"/>
    <x v="0"/>
    <s v="40-49"/>
    <s v="男"/>
    <n v="19613"/>
  </r>
  <r>
    <n v="86308633"/>
    <n v="35"/>
    <x v="1"/>
    <x v="3"/>
    <s v="30-39"/>
    <s v="男"/>
    <n v="3407"/>
  </r>
  <r>
    <n v="81616406"/>
    <n v="34"/>
    <x v="1"/>
    <x v="2"/>
    <s v="30-39"/>
    <s v="男"/>
    <n v="5063"/>
  </r>
  <r>
    <n v="89787517"/>
    <n v="40"/>
    <x v="0"/>
    <x v="0"/>
    <s v="40-49"/>
    <s v="女"/>
    <n v="4639"/>
  </r>
  <r>
    <n v="88515374"/>
    <n v="43"/>
    <x v="1"/>
    <x v="3"/>
    <s v="40-49"/>
    <s v="男"/>
    <n v="4876"/>
  </r>
  <r>
    <n v="87467622"/>
    <n v="35"/>
    <x v="1"/>
    <x v="0"/>
    <s v="30-39"/>
    <s v="男"/>
    <n v="2690"/>
  </r>
  <r>
    <n v="80645029"/>
    <n v="46"/>
    <x v="0"/>
    <x v="2"/>
    <s v="40-49"/>
    <s v="男"/>
    <n v="17567"/>
  </r>
  <r>
    <n v="80792558"/>
    <n v="28"/>
    <x v="1"/>
    <x v="3"/>
    <s v="20-29"/>
    <s v="男"/>
    <n v="2408"/>
  </r>
  <r>
    <n v="88937949"/>
    <n v="22"/>
    <x v="1"/>
    <x v="0"/>
    <s v="20-29"/>
    <s v="女"/>
    <n v="2814"/>
  </r>
  <r>
    <n v="83642249"/>
    <n v="50"/>
    <x v="1"/>
    <x v="4"/>
    <s v="&gt;=50"/>
    <s v="男"/>
    <n v="11245"/>
  </r>
  <r>
    <n v="87639489"/>
    <n v="32"/>
    <x v="1"/>
    <x v="2"/>
    <s v="30-39"/>
    <s v="女"/>
    <n v="3312"/>
  </r>
  <r>
    <n v="80623582"/>
    <n v="44"/>
    <x v="1"/>
    <x v="3"/>
    <s v="40-49"/>
    <s v="女"/>
    <n v="19049"/>
  </r>
  <r>
    <n v="85016318"/>
    <n v="30"/>
    <x v="1"/>
    <x v="3"/>
    <s v="30-39"/>
    <s v="男"/>
    <n v="2141"/>
  </r>
  <r>
    <n v="87043174"/>
    <n v="45"/>
    <x v="1"/>
    <x v="4"/>
    <s v="40-49"/>
    <s v="女"/>
    <n v="5769"/>
  </r>
  <r>
    <n v="89135791"/>
    <n v="45"/>
    <x v="0"/>
    <x v="3"/>
    <s v="40-49"/>
    <s v="男"/>
    <n v="4385"/>
  </r>
  <r>
    <n v="89586169"/>
    <n v="31"/>
    <x v="0"/>
    <x v="2"/>
    <s v="30-39"/>
    <s v="男"/>
    <n v="5332"/>
  </r>
  <r>
    <n v="88241016"/>
    <n v="36"/>
    <x v="1"/>
    <x v="2"/>
    <s v="30-39"/>
    <s v="女"/>
    <n v="4663"/>
  </r>
  <r>
    <n v="87215411"/>
    <n v="34"/>
    <x v="1"/>
    <x v="2"/>
    <s v="30-39"/>
    <s v="男"/>
    <n v="4724"/>
  </r>
  <r>
    <n v="86407989"/>
    <n v="49"/>
    <x v="1"/>
    <x v="2"/>
    <s v="40-49"/>
    <s v="女"/>
    <n v="3211"/>
  </r>
  <r>
    <n v="86481312"/>
    <n v="39"/>
    <x v="1"/>
    <x v="4"/>
    <s v="30-39"/>
    <s v="男"/>
    <n v="5377"/>
  </r>
  <r>
    <n v="88947922"/>
    <n v="27"/>
    <x v="1"/>
    <x v="3"/>
    <s v="20-29"/>
    <s v="男"/>
    <n v="4066"/>
  </r>
  <r>
    <n v="84498748"/>
    <n v="35"/>
    <x v="1"/>
    <x v="4"/>
    <s v="30-39"/>
    <s v="男"/>
    <n v="5208"/>
  </r>
  <r>
    <n v="88227863"/>
    <n v="28"/>
    <x v="1"/>
    <x v="3"/>
    <s v="20-29"/>
    <s v="女"/>
    <n v="4877"/>
  </r>
  <r>
    <n v="89080221"/>
    <n v="21"/>
    <x v="1"/>
    <x v="1"/>
    <s v="20-29"/>
    <s v="男"/>
    <n v="3117"/>
  </r>
  <r>
    <n v="83851231"/>
    <n v="23"/>
    <x v="0"/>
    <x v="0"/>
    <s v="20-29"/>
    <s v="女"/>
    <n v="1569"/>
  </r>
  <r>
    <n v="87935549"/>
    <n v="47"/>
    <x v="2"/>
    <x v="2"/>
    <s v="40-49"/>
    <s v="女"/>
    <n v="19658"/>
  </r>
  <r>
    <n v="82901934"/>
    <n v="39"/>
    <x v="1"/>
    <x v="0"/>
    <s v="30-39"/>
    <s v="男"/>
    <n v="3069"/>
  </r>
  <r>
    <n v="80084908"/>
    <n v="40"/>
    <x v="1"/>
    <x v="3"/>
    <s v="40-49"/>
    <s v="女"/>
    <n v="10435"/>
  </r>
  <r>
    <n v="88639994"/>
    <n v="35"/>
    <x v="1"/>
    <x v="2"/>
    <s v="30-39"/>
    <s v="女"/>
    <n v="4148"/>
  </r>
  <r>
    <n v="85049494"/>
    <n v="37"/>
    <x v="1"/>
    <x v="3"/>
    <s v="30-39"/>
    <s v="男"/>
    <n v="5768"/>
  </r>
  <r>
    <n v="87274752"/>
    <n v="39"/>
    <x v="1"/>
    <x v="3"/>
    <s v="30-39"/>
    <s v="女"/>
    <n v="5042"/>
  </r>
  <r>
    <n v="83569973"/>
    <n v="45"/>
    <x v="1"/>
    <x v="0"/>
    <s v="40-49"/>
    <s v="女"/>
    <n v="5770"/>
  </r>
  <r>
    <n v="84166509"/>
    <n v="38"/>
    <x v="1"/>
    <x v="0"/>
    <s v="30-39"/>
    <s v="女"/>
    <n v="7756"/>
  </r>
  <r>
    <n v="88443514"/>
    <n v="35"/>
    <x v="0"/>
    <x v="3"/>
    <s v="30-39"/>
    <s v="男"/>
    <n v="10306"/>
  </r>
  <r>
    <n v="81858793"/>
    <n v="37"/>
    <x v="1"/>
    <x v="3"/>
    <s v="30-39"/>
    <s v="女"/>
    <n v="3936"/>
  </r>
  <r>
    <n v="81174680"/>
    <n v="40"/>
    <x v="1"/>
    <x v="3"/>
    <s v="40-49"/>
    <s v="女"/>
    <n v="7945"/>
  </r>
  <r>
    <n v="83650545"/>
    <n v="44"/>
    <x v="2"/>
    <x v="4"/>
    <s v="40-49"/>
    <s v="男"/>
    <n v="5743"/>
  </r>
  <r>
    <n v="84105017"/>
    <n v="48"/>
    <x v="1"/>
    <x v="4"/>
    <s v="40-49"/>
    <s v="男"/>
    <n v="15202"/>
  </r>
  <r>
    <n v="83985967"/>
    <n v="35"/>
    <x v="0"/>
    <x v="0"/>
    <s v="30-39"/>
    <s v="男"/>
    <n v="5440"/>
  </r>
  <r>
    <n v="89508642"/>
    <n v="24"/>
    <x v="1"/>
    <x v="1"/>
    <s v="20-29"/>
    <s v="女"/>
    <n v="3760"/>
  </r>
  <r>
    <n v="87002930"/>
    <n v="27"/>
    <x v="1"/>
    <x v="3"/>
    <s v="20-29"/>
    <s v="女"/>
    <n v="3517"/>
  </r>
  <r>
    <n v="81438293"/>
    <n v="27"/>
    <x v="1"/>
    <x v="3"/>
    <s v="20-29"/>
    <s v="男"/>
    <n v="2580"/>
  </r>
  <r>
    <n v="88423176"/>
    <n v="40"/>
    <x v="1"/>
    <x v="3"/>
    <s v="40-49"/>
    <s v="男"/>
    <n v="2166"/>
  </r>
  <r>
    <n v="82366632"/>
    <n v="29"/>
    <x v="0"/>
    <x v="3"/>
    <s v="20-29"/>
    <s v="男"/>
    <n v="5869"/>
  </r>
  <r>
    <n v="82031691"/>
    <n v="36"/>
    <x v="1"/>
    <x v="2"/>
    <s v="30-39"/>
    <s v="女"/>
    <n v="8008"/>
  </r>
  <r>
    <n v="87029888"/>
    <n v="25"/>
    <x v="1"/>
    <x v="1"/>
    <s v="20-29"/>
    <s v="男"/>
    <n v="5206"/>
  </r>
  <r>
    <n v="83356963"/>
    <n v="39"/>
    <x v="1"/>
    <x v="3"/>
    <s v="30-39"/>
    <s v="男"/>
    <n v="5295"/>
  </r>
  <r>
    <n v="83722035"/>
    <n v="49"/>
    <x v="1"/>
    <x v="2"/>
    <s v="40-49"/>
    <s v="女"/>
    <n v="16413"/>
  </r>
  <r>
    <n v="85551610"/>
    <n v="50"/>
    <x v="1"/>
    <x v="4"/>
    <s v="&gt;=50"/>
    <s v="女"/>
    <n v="13269"/>
  </r>
  <r>
    <n v="88472517"/>
    <n v="20"/>
    <x v="0"/>
    <x v="3"/>
    <s v="20-29"/>
    <s v="女"/>
    <n v="2783"/>
  </r>
  <r>
    <n v="89136495"/>
    <n v="34"/>
    <x v="1"/>
    <x v="3"/>
    <s v="30-39"/>
    <s v="女"/>
    <n v="5433"/>
  </r>
  <r>
    <n v="82532263"/>
    <n v="36"/>
    <x v="1"/>
    <x v="3"/>
    <s v="30-39"/>
    <s v="男"/>
    <n v="2013"/>
  </r>
  <r>
    <n v="81094684"/>
    <n v="49"/>
    <x v="1"/>
    <x v="1"/>
    <s v="40-49"/>
    <s v="女"/>
    <n v="13966"/>
  </r>
  <r>
    <n v="88023616"/>
    <n v="36"/>
    <x v="1"/>
    <x v="2"/>
    <s v="30-39"/>
    <s v="女"/>
    <n v="4374"/>
  </r>
  <r>
    <n v="81246729"/>
    <n v="36"/>
    <x v="1"/>
    <x v="0"/>
    <s v="30-39"/>
    <s v="男"/>
    <n v="6842"/>
  </r>
  <r>
    <n v="80729894"/>
    <n v="54"/>
    <x v="1"/>
    <x v="4"/>
    <s v="&gt;=50"/>
    <s v="女"/>
    <n v="17426"/>
  </r>
  <r>
    <n v="86139203"/>
    <n v="43"/>
    <x v="1"/>
    <x v="0"/>
    <s v="40-49"/>
    <s v="男"/>
    <n v="17603"/>
  </r>
  <r>
    <n v="87089963"/>
    <n v="35"/>
    <x v="0"/>
    <x v="2"/>
    <s v="30-39"/>
    <s v="男"/>
    <n v="4581"/>
  </r>
  <r>
    <n v="81405171"/>
    <n v="38"/>
    <x v="1"/>
    <x v="3"/>
    <s v="30-39"/>
    <s v="男"/>
    <n v="4735"/>
  </r>
  <r>
    <n v="85548412"/>
    <n v="29"/>
    <x v="0"/>
    <x v="3"/>
    <s v="20-29"/>
    <s v="男"/>
    <n v="4187"/>
  </r>
  <r>
    <n v="86551850"/>
    <n v="33"/>
    <x v="0"/>
    <x v="2"/>
    <s v="30-39"/>
    <s v="男"/>
    <n v="5505"/>
  </r>
  <r>
    <n v="89112451"/>
    <n v="32"/>
    <x v="1"/>
    <x v="3"/>
    <s v="30-39"/>
    <s v="男"/>
    <n v="5470"/>
  </r>
  <r>
    <n v="88149091"/>
    <n v="31"/>
    <x v="0"/>
    <x v="2"/>
    <s v="30-39"/>
    <s v="女"/>
    <n v="5476"/>
  </r>
  <r>
    <n v="84608713"/>
    <n v="49"/>
    <x v="1"/>
    <x v="3"/>
    <s v="40-49"/>
    <s v="女"/>
    <n v="2587"/>
  </r>
  <r>
    <n v="83619383"/>
    <n v="38"/>
    <x v="1"/>
    <x v="3"/>
    <s v="30-39"/>
    <s v="女"/>
    <n v="2440"/>
  </r>
  <r>
    <n v="87172913"/>
    <n v="47"/>
    <x v="0"/>
    <x v="2"/>
    <s v="40-49"/>
    <s v="女"/>
    <n v="15972"/>
  </r>
  <r>
    <n v="81243380"/>
    <n v="49"/>
    <x v="1"/>
    <x v="3"/>
    <s v="40-49"/>
    <s v="男"/>
    <n v="15379"/>
  </r>
  <r>
    <n v="81417515"/>
    <n v="41"/>
    <x v="0"/>
    <x v="0"/>
    <s v="40-49"/>
    <s v="男"/>
    <n v="7082"/>
  </r>
  <r>
    <n v="88367356"/>
    <n v="20"/>
    <x v="0"/>
    <x v="1"/>
    <s v="20-29"/>
    <s v="男"/>
    <n v="2728"/>
  </r>
  <r>
    <n v="84608962"/>
    <n v="33"/>
    <x v="0"/>
    <x v="3"/>
    <s v="30-39"/>
    <s v="女"/>
    <n v="5368"/>
  </r>
  <r>
    <n v="80108939"/>
    <n v="36"/>
    <x v="1"/>
    <x v="2"/>
    <s v="30-39"/>
    <s v="男"/>
    <n v="5347"/>
  </r>
  <r>
    <n v="89284357"/>
    <n v="44"/>
    <x v="2"/>
    <x v="3"/>
    <s v="40-49"/>
    <s v="女"/>
    <n v="3195"/>
  </r>
  <r>
    <n v="85016535"/>
    <n v="23"/>
    <x v="1"/>
    <x v="1"/>
    <s v="20-29"/>
    <s v="男"/>
    <n v="3989"/>
  </r>
  <r>
    <n v="83753402"/>
    <n v="38"/>
    <x v="1"/>
    <x v="0"/>
    <s v="30-39"/>
    <s v="女"/>
    <n v="3306"/>
  </r>
  <r>
    <n v="88790745"/>
    <n v="53"/>
    <x v="1"/>
    <x v="2"/>
    <s v="&gt;=50"/>
    <s v="男"/>
    <n v="7005"/>
  </r>
  <r>
    <n v="86151248"/>
    <n v="48"/>
    <x v="0"/>
    <x v="0"/>
    <s v="40-49"/>
    <s v="女"/>
    <n v="2655"/>
  </r>
  <r>
    <n v="88683630"/>
    <n v="32"/>
    <x v="1"/>
    <x v="2"/>
    <s v="30-39"/>
    <s v="男"/>
    <n v="1393"/>
  </r>
  <r>
    <n v="80449053"/>
    <n v="26"/>
    <x v="1"/>
    <x v="3"/>
    <s v="20-29"/>
    <s v="男"/>
    <n v="2570"/>
  </r>
  <r>
    <n v="84139671"/>
    <n v="55"/>
    <x v="1"/>
    <x v="3"/>
    <s v="&gt;=50"/>
    <s v="男"/>
    <n v="3537"/>
  </r>
  <r>
    <n v="82650595"/>
    <n v="34"/>
    <x v="1"/>
    <x v="0"/>
    <s v="30-39"/>
    <s v="男"/>
    <n v="3986"/>
  </r>
  <r>
    <n v="83043676"/>
    <n v="60"/>
    <x v="1"/>
    <x v="2"/>
    <s v="&gt;=50"/>
    <s v="男"/>
    <n v="10883"/>
  </r>
  <r>
    <n v="80070089"/>
    <n v="33"/>
    <x v="1"/>
    <x v="3"/>
    <s v="30-39"/>
    <s v="男"/>
    <n v="2028"/>
  </r>
  <r>
    <n v="86325515"/>
    <n v="37"/>
    <x v="0"/>
    <x v="2"/>
    <s v="30-39"/>
    <s v="男"/>
    <n v="9525"/>
  </r>
  <r>
    <n v="82597015"/>
    <n v="34"/>
    <x v="1"/>
    <x v="3"/>
    <s v="30-39"/>
    <s v="女"/>
    <n v="2929"/>
  </r>
  <r>
    <n v="88758245"/>
    <n v="23"/>
    <x v="0"/>
    <x v="3"/>
    <s v="20-29"/>
    <s v="男"/>
    <n v="2275"/>
  </r>
  <r>
    <n v="87697256"/>
    <n v="44"/>
    <x v="1"/>
    <x v="3"/>
    <s v="40-49"/>
    <s v="女"/>
    <n v="7879"/>
  </r>
  <r>
    <n v="89956510"/>
    <n v="35"/>
    <x v="1"/>
    <x v="2"/>
    <s v="30-39"/>
    <s v="男"/>
    <n v="4930"/>
  </r>
  <r>
    <n v="88356192"/>
    <n v="43"/>
    <x v="0"/>
    <x v="3"/>
    <s v="40-49"/>
    <s v="男"/>
    <n v="7847"/>
  </r>
  <r>
    <n v="89594922"/>
    <n v="24"/>
    <x v="1"/>
    <x v="3"/>
    <s v="20-29"/>
    <s v="男"/>
    <n v="4401"/>
  </r>
  <r>
    <n v="82196377"/>
    <n v="41"/>
    <x v="0"/>
    <x v="3"/>
    <s v="40-49"/>
    <s v="男"/>
    <n v="9241"/>
  </r>
  <r>
    <n v="88566449"/>
    <n v="29"/>
    <x v="1"/>
    <x v="2"/>
    <s v="20-29"/>
    <s v="女"/>
    <n v="2974"/>
  </r>
  <r>
    <n v="84351371"/>
    <n v="36"/>
    <x v="0"/>
    <x v="2"/>
    <s v="30-39"/>
    <s v="女"/>
    <n v="4502"/>
  </r>
  <r>
    <n v="88019312"/>
    <n v="45"/>
    <x v="1"/>
    <x v="1"/>
    <s v="40-49"/>
    <s v="男"/>
    <n v="10748"/>
  </r>
  <r>
    <n v="82019206"/>
    <n v="24"/>
    <x v="2"/>
    <x v="1"/>
    <s v="20-29"/>
    <s v="男"/>
    <n v="1555"/>
  </r>
  <r>
    <n v="87533092"/>
    <n v="47"/>
    <x v="0"/>
    <x v="3"/>
    <s v="40-49"/>
    <s v="男"/>
    <n v="12936"/>
  </r>
  <r>
    <n v="88592436"/>
    <n v="26"/>
    <x v="1"/>
    <x v="2"/>
    <s v="20-29"/>
    <s v="男"/>
    <n v="2305"/>
  </r>
  <r>
    <n v="82938965"/>
    <n v="45"/>
    <x v="1"/>
    <x v="0"/>
    <s v="40-49"/>
    <s v="女"/>
    <n v="16704"/>
  </r>
  <r>
    <n v="89244297"/>
    <n v="32"/>
    <x v="1"/>
    <x v="3"/>
    <s v="30-39"/>
    <s v="男"/>
    <n v="3433"/>
  </r>
  <r>
    <n v="82543791"/>
    <n v="31"/>
    <x v="1"/>
    <x v="2"/>
    <s v="30-39"/>
    <s v="男"/>
    <n v="3477"/>
  </r>
  <r>
    <n v="82875239"/>
    <n v="41"/>
    <x v="2"/>
    <x v="3"/>
    <s v="40-49"/>
    <s v="男"/>
    <n v="6430"/>
  </r>
  <r>
    <n v="88439926"/>
    <n v="40"/>
    <x v="1"/>
    <x v="0"/>
    <s v="40-49"/>
    <s v="女"/>
    <n v="6516"/>
  </r>
  <r>
    <n v="85121204"/>
    <n v="24"/>
    <x v="1"/>
    <x v="1"/>
    <s v="20-29"/>
    <s v="男"/>
    <n v="3907"/>
  </r>
  <r>
    <n v="82647967"/>
    <n v="46"/>
    <x v="1"/>
    <x v="2"/>
    <s v="40-49"/>
    <s v="男"/>
    <n v="5562"/>
  </r>
  <r>
    <n v="85684968"/>
    <n v="35"/>
    <x v="1"/>
    <x v="2"/>
    <s v="30-39"/>
    <s v="男"/>
    <n v="6883"/>
  </r>
  <r>
    <n v="82380063"/>
    <n v="30"/>
    <x v="1"/>
    <x v="1"/>
    <s v="30-39"/>
    <s v="男"/>
    <n v="2862"/>
  </r>
  <r>
    <n v="86568509"/>
    <n v="47"/>
    <x v="0"/>
    <x v="2"/>
    <s v="40-49"/>
    <s v="男"/>
    <n v="4978"/>
  </r>
  <r>
    <n v="88402367"/>
    <n v="46"/>
    <x v="0"/>
    <x v="3"/>
    <s v="40-49"/>
    <s v="男"/>
    <n v="10368"/>
  </r>
  <r>
    <n v="87901094"/>
    <n v="36"/>
    <x v="0"/>
    <x v="4"/>
    <s v="30-39"/>
    <s v="男"/>
    <n v="6134"/>
  </r>
  <r>
    <n v="86239427"/>
    <n v="32"/>
    <x v="0"/>
    <x v="0"/>
    <s v="30-39"/>
    <s v="男"/>
    <n v="6735"/>
  </r>
  <r>
    <n v="81324174"/>
    <n v="23"/>
    <x v="1"/>
    <x v="1"/>
    <s v="20-29"/>
    <s v="女"/>
    <n v="3295"/>
  </r>
  <r>
    <n v="88924853"/>
    <n v="31"/>
    <x v="1"/>
    <x v="1"/>
    <s v="30-39"/>
    <s v="女"/>
    <n v="5238"/>
  </r>
  <r>
    <n v="85374246"/>
    <n v="39"/>
    <x v="1"/>
    <x v="3"/>
    <s v="30-39"/>
    <s v="男"/>
    <n v="6472"/>
  </r>
  <r>
    <n v="87802114"/>
    <n v="32"/>
    <x v="0"/>
    <x v="3"/>
    <s v="30-39"/>
    <s v="男"/>
    <n v="9610"/>
  </r>
  <r>
    <n v="86156874"/>
    <n v="40"/>
    <x v="0"/>
    <x v="2"/>
    <s v="40-49"/>
    <s v="男"/>
    <n v="19833"/>
  </r>
  <r>
    <n v="88023441"/>
    <n v="45"/>
    <x v="2"/>
    <x v="3"/>
    <s v="40-49"/>
    <s v="女"/>
    <n v="9756"/>
  </r>
  <r>
    <n v="87373995"/>
    <n v="30"/>
    <x v="1"/>
    <x v="2"/>
    <s v="30-39"/>
    <s v="女"/>
    <n v="4968"/>
  </r>
  <r>
    <n v="81781514"/>
    <n v="24"/>
    <x v="2"/>
    <x v="3"/>
    <s v="20-29"/>
    <s v="男"/>
    <n v="2145"/>
  </r>
  <r>
    <n v="86589628"/>
    <n v="30"/>
    <x v="2"/>
    <x v="3"/>
    <s v="30-39"/>
    <s v="女"/>
    <n v="2180"/>
  </r>
  <r>
    <n v="87659060"/>
    <n v="31"/>
    <x v="0"/>
    <x v="3"/>
    <s v="30-39"/>
    <s v="男"/>
    <n v="8346"/>
  </r>
  <r>
    <n v="85319950"/>
    <n v="27"/>
    <x v="1"/>
    <x v="3"/>
    <s v="20-29"/>
    <s v="女"/>
    <n v="3445"/>
  </r>
  <r>
    <n v="88461855"/>
    <n v="29"/>
    <x v="0"/>
    <x v="3"/>
    <s v="20-29"/>
    <s v="女"/>
    <n v="2760"/>
  </r>
  <r>
    <n v="85077435"/>
    <n v="29"/>
    <x v="1"/>
    <x v="3"/>
    <s v="20-29"/>
    <s v="男"/>
    <n v="6294"/>
  </r>
  <r>
    <n v="83513934"/>
    <n v="30"/>
    <x v="0"/>
    <x v="0"/>
    <s v="30-39"/>
    <s v="男"/>
    <n v="7140"/>
  </r>
  <r>
    <n v="88835304"/>
    <n v="34"/>
    <x v="1"/>
    <x v="2"/>
    <s v="30-39"/>
    <s v="男"/>
    <n v="2932"/>
  </r>
  <r>
    <n v="85775206"/>
    <n v="33"/>
    <x v="0"/>
    <x v="3"/>
    <s v="30-39"/>
    <s v="女"/>
    <n v="5147"/>
  </r>
  <r>
    <n v="82568190"/>
    <n v="49"/>
    <x v="0"/>
    <x v="2"/>
    <s v="40-49"/>
    <s v="女"/>
    <n v="4507"/>
  </r>
  <r>
    <n v="87341383"/>
    <n v="33"/>
    <x v="0"/>
    <x v="3"/>
    <s v="30-39"/>
    <s v="女"/>
    <n v="8564"/>
  </r>
  <r>
    <n v="83017002"/>
    <n v="38"/>
    <x v="1"/>
    <x v="0"/>
    <s v="30-39"/>
    <s v="女"/>
    <n v="2468"/>
  </r>
  <r>
    <n v="89177856"/>
    <n v="31"/>
    <x v="0"/>
    <x v="2"/>
    <s v="30-39"/>
    <s v="男"/>
    <n v="8161"/>
  </r>
  <r>
    <n v="84452934"/>
    <n v="29"/>
    <x v="1"/>
    <x v="3"/>
    <s v="20-29"/>
    <s v="女"/>
    <n v="2109"/>
  </r>
  <r>
    <n v="87367717"/>
    <n v="30"/>
    <x v="1"/>
    <x v="3"/>
    <s v="30-39"/>
    <s v="男"/>
    <n v="5294"/>
  </r>
  <r>
    <n v="81555671"/>
    <n v="32"/>
    <x v="1"/>
    <x v="2"/>
    <s v="30-39"/>
    <s v="男"/>
    <n v="2718"/>
  </r>
  <r>
    <n v="82322707"/>
    <n v="38"/>
    <x v="1"/>
    <x v="3"/>
    <s v="30-39"/>
    <s v="男"/>
    <n v="5811"/>
  </r>
  <r>
    <n v="85092693"/>
    <n v="43"/>
    <x v="1"/>
    <x v="3"/>
    <s v="40-49"/>
    <s v="男"/>
    <n v="2437"/>
  </r>
  <r>
    <n v="89915408"/>
    <n v="42"/>
    <x v="1"/>
    <x v="3"/>
    <s v="40-49"/>
    <s v="男"/>
    <n v="2766"/>
  </r>
  <r>
    <n v="88435185"/>
    <n v="55"/>
    <x v="1"/>
    <x v="3"/>
    <s v="&gt;=50"/>
    <s v="男"/>
    <n v="19038"/>
  </r>
  <r>
    <n v="85111235"/>
    <n v="33"/>
    <x v="1"/>
    <x v="3"/>
    <s v="30-39"/>
    <s v="男"/>
    <n v="3055"/>
  </r>
  <r>
    <n v="84448900"/>
    <n v="41"/>
    <x v="1"/>
    <x v="2"/>
    <s v="40-49"/>
    <s v="男"/>
    <n v="2289"/>
  </r>
  <r>
    <n v="85103773"/>
    <n v="34"/>
    <x v="0"/>
    <x v="3"/>
    <s v="30-39"/>
    <s v="男"/>
    <n v="4001"/>
  </r>
  <r>
    <n v="89870954"/>
    <n v="53"/>
    <x v="1"/>
    <x v="2"/>
    <s v="&gt;=50"/>
    <s v="女"/>
    <n v="12965"/>
  </r>
  <r>
    <n v="84143109"/>
    <n v="43"/>
    <x v="2"/>
    <x v="3"/>
    <s v="40-49"/>
    <s v="男"/>
    <n v="3539"/>
  </r>
  <r>
    <n v="80186602"/>
    <n v="34"/>
    <x v="0"/>
    <x v="0"/>
    <s v="30-39"/>
    <s v="女"/>
    <n v="6029"/>
  </r>
  <r>
    <n v="87422034"/>
    <n v="21"/>
    <x v="0"/>
    <x v="1"/>
    <s v="20-29"/>
    <s v="男"/>
    <n v="2679"/>
  </r>
  <r>
    <n v="86837305"/>
    <n v="38"/>
    <x v="1"/>
    <x v="0"/>
    <s v="30-39"/>
    <s v="女"/>
    <n v="3702"/>
  </r>
  <r>
    <n v="89779955"/>
    <n v="22"/>
    <x v="1"/>
    <x v="1"/>
    <s v="20-29"/>
    <s v="女"/>
    <n v="2398"/>
  </r>
  <r>
    <n v="87981930"/>
    <n v="31"/>
    <x v="0"/>
    <x v="2"/>
    <s v="30-39"/>
    <s v="女"/>
    <n v="5468"/>
  </r>
  <r>
    <n v="88588560"/>
    <n v="51"/>
    <x v="1"/>
    <x v="3"/>
    <s v="&gt;=50"/>
    <s v="女"/>
    <n v="13116"/>
  </r>
  <r>
    <n v="85882530"/>
    <n v="37"/>
    <x v="0"/>
    <x v="0"/>
    <s v="30-39"/>
    <s v="男"/>
    <n v="4189"/>
  </r>
  <r>
    <n v="82781454"/>
    <n v="46"/>
    <x v="1"/>
    <x v="2"/>
    <s v="40-49"/>
    <s v="男"/>
    <n v="19328"/>
  </r>
  <r>
    <n v="86700089"/>
    <n v="36"/>
    <x v="1"/>
    <x v="3"/>
    <s v="30-39"/>
    <s v="男"/>
    <n v="8321"/>
  </r>
  <r>
    <n v="84691964"/>
    <n v="44"/>
    <x v="1"/>
    <x v="0"/>
    <s v="40-49"/>
    <s v="男"/>
    <n v="2342"/>
  </r>
  <r>
    <n v="83175647"/>
    <n v="37"/>
    <x v="2"/>
    <x v="0"/>
    <s v="30-39"/>
    <s v="男"/>
    <n v="4071"/>
  </r>
  <r>
    <n v="80134673"/>
    <n v="35"/>
    <x v="0"/>
    <x v="3"/>
    <s v="30-39"/>
    <s v="男"/>
    <n v="5813"/>
  </r>
  <r>
    <n v="89819037"/>
    <n v="33"/>
    <x v="1"/>
    <x v="2"/>
    <s v="30-39"/>
    <s v="男"/>
    <n v="3143"/>
  </r>
  <r>
    <n v="87696746"/>
    <n v="28"/>
    <x v="1"/>
    <x v="3"/>
    <s v="20-29"/>
    <s v="男"/>
    <n v="2044"/>
  </r>
  <r>
    <n v="88414975"/>
    <n v="39"/>
    <x v="1"/>
    <x v="1"/>
    <s v="30-39"/>
    <s v="男"/>
    <n v="13464"/>
  </r>
  <r>
    <n v="86433125"/>
    <n v="46"/>
    <x v="0"/>
    <x v="0"/>
    <s v="40-49"/>
    <s v="男"/>
    <n v="7991"/>
  </r>
  <r>
    <n v="87901659"/>
    <n v="40"/>
    <x v="1"/>
    <x v="0"/>
    <s v="40-49"/>
    <s v="女"/>
    <n v="3377"/>
  </r>
  <r>
    <n v="82449560"/>
    <n v="42"/>
    <x v="1"/>
    <x v="3"/>
    <s v="40-49"/>
    <s v="男"/>
    <n v="5538"/>
  </r>
  <r>
    <n v="82062992"/>
    <n v="35"/>
    <x v="1"/>
    <x v="0"/>
    <s v="30-39"/>
    <s v="男"/>
    <n v="5762"/>
  </r>
  <r>
    <n v="81027552"/>
    <n v="38"/>
    <x v="2"/>
    <x v="3"/>
    <s v="30-39"/>
    <s v="男"/>
    <n v="2592"/>
  </r>
  <r>
    <n v="80354912"/>
    <n v="34"/>
    <x v="1"/>
    <x v="2"/>
    <s v="30-39"/>
    <s v="男"/>
    <n v="5346"/>
  </r>
  <r>
    <n v="84190668"/>
    <n v="37"/>
    <x v="1"/>
    <x v="2"/>
    <s v="30-39"/>
    <s v="男"/>
    <n v="4213"/>
  </r>
  <r>
    <n v="81299668"/>
    <n v="39"/>
    <x v="0"/>
    <x v="3"/>
    <s v="30-39"/>
    <s v="男"/>
    <n v="4127"/>
  </r>
  <r>
    <n v="89928689"/>
    <n v="43"/>
    <x v="1"/>
    <x v="3"/>
    <s v="40-49"/>
    <s v="男"/>
    <n v="2438"/>
  </r>
  <r>
    <n v="85429440"/>
    <n v="41"/>
    <x v="1"/>
    <x v="3"/>
    <s v="40-49"/>
    <s v="男"/>
    <n v="6870"/>
  </r>
  <r>
    <n v="84291030"/>
    <n v="41"/>
    <x v="0"/>
    <x v="1"/>
    <s v="40-49"/>
    <s v="女"/>
    <n v="10447"/>
  </r>
  <r>
    <n v="82606176"/>
    <n v="30"/>
    <x v="1"/>
    <x v="3"/>
    <s v="30-39"/>
    <s v="女"/>
    <n v="9667"/>
  </r>
  <r>
    <n v="84185950"/>
    <n v="26"/>
    <x v="2"/>
    <x v="0"/>
    <s v="20-29"/>
    <s v="女"/>
    <n v="2148"/>
  </r>
  <r>
    <n v="80757280"/>
    <n v="46"/>
    <x v="1"/>
    <x v="0"/>
    <s v="40-49"/>
    <s v="女"/>
    <n v="8926"/>
  </r>
  <r>
    <n v="84213524"/>
    <n v="40"/>
    <x v="1"/>
    <x v="3"/>
    <s v="40-49"/>
    <s v="女"/>
    <n v="6513"/>
  </r>
  <r>
    <n v="85404657"/>
    <n v="34"/>
    <x v="0"/>
    <x v="0"/>
    <s v="30-39"/>
    <s v="男"/>
    <n v="6799"/>
  </r>
  <r>
    <n v="82501491"/>
    <n v="58"/>
    <x v="0"/>
    <x v="3"/>
    <s v="&gt;=50"/>
    <s v="男"/>
    <n v="16291"/>
  </r>
  <r>
    <n v="82973472"/>
    <n v="35"/>
    <x v="1"/>
    <x v="2"/>
    <s v="30-39"/>
    <s v="男"/>
    <n v="2705"/>
  </r>
  <r>
    <n v="81512189"/>
    <n v="47"/>
    <x v="1"/>
    <x v="3"/>
    <s v="40-49"/>
    <s v="女"/>
    <n v="10333"/>
  </r>
  <r>
    <n v="88306985"/>
    <n v="40"/>
    <x v="1"/>
    <x v="3"/>
    <s v="40-49"/>
    <s v="女"/>
    <n v="4448"/>
  </r>
  <r>
    <n v="89165727"/>
    <n v="54"/>
    <x v="1"/>
    <x v="2"/>
    <s v="&gt;=50"/>
    <s v="女"/>
    <n v="6854"/>
  </r>
  <r>
    <n v="81979821"/>
    <n v="31"/>
    <x v="0"/>
    <x v="2"/>
    <s v="30-39"/>
    <s v="女"/>
    <n v="9637"/>
  </r>
  <r>
    <n v="85868466"/>
    <n v="28"/>
    <x v="1"/>
    <x v="3"/>
    <s v="20-29"/>
    <s v="女"/>
    <n v="3591"/>
  </r>
  <r>
    <n v="80450823"/>
    <n v="38"/>
    <x v="0"/>
    <x v="2"/>
    <s v="30-39"/>
    <s v="女"/>
    <n v="5405"/>
  </r>
  <r>
    <n v="83279519"/>
    <n v="26"/>
    <x v="0"/>
    <x v="3"/>
    <s v="20-29"/>
    <s v="男"/>
    <n v="4684"/>
  </r>
  <r>
    <n v="80158508"/>
    <n v="58"/>
    <x v="1"/>
    <x v="2"/>
    <s v="&gt;=50"/>
    <s v="男"/>
    <n v="15787"/>
  </r>
  <r>
    <n v="87147947"/>
    <n v="23"/>
    <x v="1"/>
    <x v="3"/>
    <s v="20-29"/>
    <s v="女"/>
    <n v="1514"/>
  </r>
  <r>
    <n v="87835428"/>
    <n v="31"/>
    <x v="2"/>
    <x v="4"/>
    <s v="30-39"/>
    <s v="男"/>
    <n v="2956"/>
  </r>
  <r>
    <n v="82508133"/>
    <n v="29"/>
    <x v="2"/>
    <x v="3"/>
    <s v="20-29"/>
    <s v="男"/>
    <n v="2335"/>
  </r>
  <r>
    <n v="88248819"/>
    <n v="45"/>
    <x v="0"/>
    <x v="2"/>
    <s v="40-49"/>
    <s v="女"/>
    <n v="5154"/>
  </r>
  <r>
    <n v="87884139"/>
    <n v="36"/>
    <x v="1"/>
    <x v="2"/>
    <s v="30-39"/>
    <s v="女"/>
    <n v="6962"/>
  </r>
  <r>
    <n v="82280712"/>
    <n v="43"/>
    <x v="0"/>
    <x v="2"/>
    <s v="40-49"/>
    <s v="男"/>
    <n v="5675"/>
  </r>
  <r>
    <n v="81740918"/>
    <n v="27"/>
    <x v="1"/>
    <x v="0"/>
    <s v="20-29"/>
    <s v="女"/>
    <n v="2379"/>
  </r>
  <r>
    <n v="86363351"/>
    <n v="29"/>
    <x v="1"/>
    <x v="1"/>
    <s v="20-29"/>
    <s v="男"/>
    <n v="3812"/>
  </r>
  <r>
    <n v="82418761"/>
    <n v="32"/>
    <x v="0"/>
    <x v="2"/>
    <s v="30-39"/>
    <s v="男"/>
    <n v="4648"/>
  </r>
  <r>
    <n v="81859545"/>
    <n v="42"/>
    <x v="1"/>
    <x v="2"/>
    <s v="40-49"/>
    <s v="男"/>
    <n v="2936"/>
  </r>
  <r>
    <n v="83763257"/>
    <n v="47"/>
    <x v="1"/>
    <x v="2"/>
    <s v="40-49"/>
    <s v="女"/>
    <n v="2105"/>
  </r>
  <r>
    <n v="80725271"/>
    <n v="46"/>
    <x v="1"/>
    <x v="0"/>
    <s v="40-49"/>
    <s v="男"/>
    <n v="8578"/>
  </r>
  <r>
    <n v="86294030"/>
    <n v="28"/>
    <x v="2"/>
    <x v="0"/>
    <s v="20-29"/>
    <s v="男"/>
    <n v="2706"/>
  </r>
  <r>
    <n v="82434482"/>
    <n v="29"/>
    <x v="1"/>
    <x v="1"/>
    <s v="20-29"/>
    <s v="男"/>
    <n v="6384"/>
  </r>
  <r>
    <n v="88058655"/>
    <n v="42"/>
    <x v="1"/>
    <x v="3"/>
    <s v="40-49"/>
    <s v="男"/>
    <n v="3968"/>
  </r>
  <r>
    <n v="80390857"/>
    <n v="32"/>
    <x v="0"/>
    <x v="2"/>
    <s v="30-39"/>
    <s v="男"/>
    <n v="9907"/>
  </r>
  <r>
    <n v="80956908"/>
    <n v="46"/>
    <x v="0"/>
    <x v="3"/>
    <s v="40-49"/>
    <s v="女"/>
    <n v="13225"/>
  </r>
  <r>
    <n v="85122612"/>
    <n v="27"/>
    <x v="0"/>
    <x v="1"/>
    <s v="20-29"/>
    <s v="女"/>
    <n v="3540"/>
  </r>
  <r>
    <n v="86953302"/>
    <n v="29"/>
    <x v="2"/>
    <x v="1"/>
    <s v="20-29"/>
    <s v="男"/>
    <n v="2804"/>
  </r>
  <r>
    <n v="86210260"/>
    <n v="43"/>
    <x v="1"/>
    <x v="3"/>
    <s v="40-49"/>
    <s v="女"/>
    <n v="19392"/>
  </r>
  <r>
    <n v="81021019"/>
    <n v="48"/>
    <x v="1"/>
    <x v="3"/>
    <s v="40-49"/>
    <s v="男"/>
    <n v="19665"/>
  </r>
  <r>
    <n v="85348471"/>
    <n v="29"/>
    <x v="1"/>
    <x v="0"/>
    <s v="20-29"/>
    <s v="男"/>
    <n v="2439"/>
  </r>
  <r>
    <n v="84959353"/>
    <n v="46"/>
    <x v="0"/>
    <x v="3"/>
    <s v="40-49"/>
    <s v="女"/>
    <n v="7314"/>
  </r>
  <r>
    <n v="85188796"/>
    <n v="27"/>
    <x v="1"/>
    <x v="3"/>
    <s v="20-29"/>
    <s v="女"/>
    <n v="4774"/>
  </r>
  <r>
    <n v="80324990"/>
    <n v="39"/>
    <x v="1"/>
    <x v="2"/>
    <s v="30-39"/>
    <s v="男"/>
    <n v="3902"/>
  </r>
  <r>
    <n v="89993339"/>
    <n v="55"/>
    <x v="1"/>
    <x v="2"/>
    <s v="&gt;=50"/>
    <s v="男"/>
    <n v="2662"/>
  </r>
  <r>
    <n v="86678143"/>
    <n v="28"/>
    <x v="0"/>
    <x v="3"/>
    <s v="20-29"/>
    <s v="女"/>
    <n v="2856"/>
  </r>
  <r>
    <n v="89292152"/>
    <n v="30"/>
    <x v="0"/>
    <x v="3"/>
    <s v="30-39"/>
    <s v="男"/>
    <n v="1081"/>
  </r>
  <r>
    <n v="89627241"/>
    <n v="22"/>
    <x v="1"/>
    <x v="1"/>
    <s v="20-29"/>
    <s v="男"/>
    <n v="2472"/>
  </r>
  <r>
    <n v="88143457"/>
    <n v="36"/>
    <x v="0"/>
    <x v="2"/>
    <s v="30-39"/>
    <s v="女"/>
    <n v="5673"/>
  </r>
  <r>
    <n v="80465165"/>
    <n v="31"/>
    <x v="1"/>
    <x v="3"/>
    <s v="30-39"/>
    <s v="男"/>
    <n v="4197"/>
  </r>
  <r>
    <n v="87594832"/>
    <n v="34"/>
    <x v="0"/>
    <x v="3"/>
    <s v="30-39"/>
    <s v="男"/>
    <n v="9713"/>
  </r>
  <r>
    <n v="85277298"/>
    <n v="29"/>
    <x v="1"/>
    <x v="3"/>
    <s v="20-29"/>
    <s v="男"/>
    <n v="2062"/>
  </r>
  <r>
    <n v="88179936"/>
    <n v="37"/>
    <x v="1"/>
    <x v="2"/>
    <s v="30-39"/>
    <s v="男"/>
    <n v="4284"/>
  </r>
  <r>
    <n v="80559781"/>
    <n v="35"/>
    <x v="1"/>
    <x v="0"/>
    <s v="30-39"/>
    <s v="女"/>
    <n v="4788"/>
  </r>
  <r>
    <n v="82847482"/>
    <n v="45"/>
    <x v="1"/>
    <x v="0"/>
    <s v="40-49"/>
    <s v="女"/>
    <n v="5906"/>
  </r>
  <r>
    <n v="89893433"/>
    <n v="36"/>
    <x v="2"/>
    <x v="1"/>
    <s v="30-39"/>
    <s v="男"/>
    <n v="3886"/>
  </r>
  <r>
    <n v="82190125"/>
    <n v="40"/>
    <x v="1"/>
    <x v="2"/>
    <s v="40-49"/>
    <s v="男"/>
    <n v="16823"/>
  </r>
  <r>
    <n v="88776812"/>
    <n v="26"/>
    <x v="1"/>
    <x v="0"/>
    <s v="20-29"/>
    <s v="女"/>
    <n v="2933"/>
  </r>
  <r>
    <n v="82889382"/>
    <n v="27"/>
    <x v="0"/>
    <x v="0"/>
    <s v="20-29"/>
    <s v="女"/>
    <n v="6500"/>
  </r>
  <r>
    <n v="89624126"/>
    <n v="48"/>
    <x v="1"/>
    <x v="3"/>
    <s v="40-49"/>
    <s v="女"/>
    <n v="17174"/>
  </r>
  <r>
    <n v="83253480"/>
    <n v="44"/>
    <x v="1"/>
    <x v="2"/>
    <s v="40-49"/>
    <s v="男"/>
    <n v="5033"/>
  </r>
  <r>
    <n v="82776963"/>
    <n v="34"/>
    <x v="1"/>
    <x v="2"/>
    <s v="30-39"/>
    <s v="男"/>
    <n v="2307"/>
  </r>
  <r>
    <n v="86031676"/>
    <n v="56"/>
    <x v="1"/>
    <x v="0"/>
    <s v="&gt;=50"/>
    <s v="男"/>
    <n v="2587"/>
  </r>
  <r>
    <n v="83014917"/>
    <n v="36"/>
    <x v="0"/>
    <x v="0"/>
    <s v="30-39"/>
    <s v="男"/>
    <n v="5507"/>
  </r>
  <r>
    <n v="86170565"/>
    <n v="41"/>
    <x v="0"/>
    <x v="3"/>
    <s v="40-49"/>
    <s v="女"/>
    <n v="4393"/>
  </r>
  <r>
    <n v="85746101"/>
    <n v="42"/>
    <x v="1"/>
    <x v="3"/>
    <s v="40-49"/>
    <s v="男"/>
    <n v="13348"/>
  </r>
  <r>
    <n v="84515948"/>
    <n v="31"/>
    <x v="0"/>
    <x v="0"/>
    <s v="30-39"/>
    <s v="女"/>
    <n v="6583"/>
  </r>
  <r>
    <n v="89158570"/>
    <n v="34"/>
    <x v="0"/>
    <x v="1"/>
    <s v="30-39"/>
    <s v="女"/>
    <n v="8103"/>
  </r>
  <r>
    <n v="84316956"/>
    <n v="31"/>
    <x v="1"/>
    <x v="3"/>
    <s v="30-39"/>
    <s v="女"/>
    <n v="3978"/>
  </r>
  <r>
    <n v="85059115"/>
    <n v="26"/>
    <x v="1"/>
    <x v="3"/>
    <s v="20-29"/>
    <s v="男"/>
    <n v="2544"/>
  </r>
  <r>
    <n v="87736142"/>
    <n v="45"/>
    <x v="1"/>
    <x v="2"/>
    <s v="40-49"/>
    <s v="男"/>
    <n v="5399"/>
  </r>
  <r>
    <n v="81887216"/>
    <n v="33"/>
    <x v="0"/>
    <x v="2"/>
    <s v="30-39"/>
    <s v="男"/>
    <n v="5487"/>
  </r>
  <r>
    <n v="88802228"/>
    <n v="28"/>
    <x v="0"/>
    <x v="0"/>
    <s v="20-29"/>
    <s v="男"/>
    <n v="6834"/>
  </r>
  <r>
    <n v="83395000"/>
    <n v="29"/>
    <x v="0"/>
    <x v="3"/>
    <s v="20-29"/>
    <s v="男"/>
    <n v="1091"/>
  </r>
  <r>
    <n v="87086956"/>
    <n v="39"/>
    <x v="0"/>
    <x v="2"/>
    <s v="30-39"/>
    <s v="女"/>
    <n v="5736"/>
  </r>
  <r>
    <n v="80809182"/>
    <n v="27"/>
    <x v="1"/>
    <x v="2"/>
    <s v="20-29"/>
    <s v="男"/>
    <n v="2226"/>
  </r>
  <r>
    <n v="85949628"/>
    <n v="34"/>
    <x v="1"/>
    <x v="2"/>
    <s v="30-39"/>
    <s v="男"/>
    <n v="5747"/>
  </r>
  <r>
    <n v="87840430"/>
    <n v="28"/>
    <x v="0"/>
    <x v="0"/>
    <s v="20-29"/>
    <s v="女"/>
    <n v="9854"/>
  </r>
  <r>
    <n v="80868182"/>
    <n v="47"/>
    <x v="1"/>
    <x v="2"/>
    <s v="40-49"/>
    <s v="男"/>
    <n v="5467"/>
  </r>
  <r>
    <n v="87262173"/>
    <n v="56"/>
    <x v="0"/>
    <x v="4"/>
    <s v="&gt;=50"/>
    <s v="女"/>
    <n v="5380"/>
  </r>
  <r>
    <n v="80880903"/>
    <n v="39"/>
    <x v="1"/>
    <x v="0"/>
    <s v="30-39"/>
    <s v="男"/>
    <n v="5151"/>
  </r>
  <r>
    <n v="81567334"/>
    <n v="38"/>
    <x v="1"/>
    <x v="3"/>
    <s v="30-39"/>
    <s v="女"/>
    <n v="2133"/>
  </r>
  <r>
    <n v="83065444"/>
    <n v="58"/>
    <x v="0"/>
    <x v="3"/>
    <s v="&gt;=50"/>
    <s v="女"/>
    <n v="17875"/>
  </r>
  <r>
    <n v="81197791"/>
    <n v="32"/>
    <x v="1"/>
    <x v="0"/>
    <s v="30-39"/>
    <s v="女"/>
    <n v="2432"/>
  </r>
  <r>
    <n v="87135190"/>
    <n v="38"/>
    <x v="1"/>
    <x v="0"/>
    <s v="30-39"/>
    <s v="男"/>
    <n v="4771"/>
  </r>
  <r>
    <n v="84590136"/>
    <n v="49"/>
    <x v="1"/>
    <x v="1"/>
    <s v="40-49"/>
    <s v="男"/>
    <n v="19161"/>
  </r>
  <r>
    <n v="85705892"/>
    <n v="42"/>
    <x v="0"/>
    <x v="2"/>
    <s v="40-49"/>
    <s v="男"/>
    <n v="5087"/>
  </r>
  <r>
    <n v="83693275"/>
    <n v="27"/>
    <x v="2"/>
    <x v="3"/>
    <s v="20-29"/>
    <s v="女"/>
    <n v="2863"/>
  </r>
  <r>
    <n v="83100650"/>
    <n v="35"/>
    <x v="0"/>
    <x v="2"/>
    <s v="30-39"/>
    <s v="男"/>
    <n v="5561"/>
  </r>
  <r>
    <n v="86017573"/>
    <n v="28"/>
    <x v="1"/>
    <x v="3"/>
    <s v="20-29"/>
    <s v="男"/>
    <n v="2144"/>
  </r>
  <r>
    <n v="86918746"/>
    <n v="31"/>
    <x v="1"/>
    <x v="0"/>
    <s v="30-39"/>
    <s v="男"/>
    <n v="3065"/>
  </r>
  <r>
    <n v="83541501"/>
    <n v="36"/>
    <x v="1"/>
    <x v="2"/>
    <s v="30-39"/>
    <s v="男"/>
    <n v="2810"/>
  </r>
  <r>
    <n v="87676606"/>
    <n v="34"/>
    <x v="0"/>
    <x v="3"/>
    <s v="30-39"/>
    <s v="男"/>
    <n v="9888"/>
  </r>
  <r>
    <n v="87513091"/>
    <n v="34"/>
    <x v="0"/>
    <x v="2"/>
    <s v="30-39"/>
    <s v="男"/>
    <n v="8628"/>
  </r>
  <r>
    <n v="89649097"/>
    <n v="26"/>
    <x v="1"/>
    <x v="3"/>
    <s v="20-29"/>
    <s v="男"/>
    <n v="2867"/>
  </r>
  <r>
    <n v="82444734"/>
    <n v="29"/>
    <x v="1"/>
    <x v="3"/>
    <s v="20-29"/>
    <s v="男"/>
    <n v="5373"/>
  </r>
  <r>
    <n v="81478151"/>
    <n v="32"/>
    <x v="1"/>
    <x v="2"/>
    <s v="30-39"/>
    <s v="女"/>
    <n v="6667"/>
  </r>
  <r>
    <n v="82885978"/>
    <n v="31"/>
    <x v="1"/>
    <x v="3"/>
    <s v="30-39"/>
    <s v="男"/>
    <n v="5003"/>
  </r>
  <r>
    <n v="88930883"/>
    <n v="28"/>
    <x v="1"/>
    <x v="3"/>
    <s v="20-29"/>
    <s v="男"/>
    <n v="2367"/>
  </r>
  <r>
    <n v="83230008"/>
    <n v="38"/>
    <x v="0"/>
    <x v="3"/>
    <s v="30-39"/>
    <s v="男"/>
    <n v="2858"/>
  </r>
  <r>
    <n v="87003936"/>
    <n v="35"/>
    <x v="0"/>
    <x v="2"/>
    <s v="30-39"/>
    <s v="女"/>
    <n v="5204"/>
  </r>
  <r>
    <n v="80981895"/>
    <n v="27"/>
    <x v="0"/>
    <x v="3"/>
    <s v="20-29"/>
    <s v="男"/>
    <n v="4105"/>
  </r>
  <r>
    <n v="81833667"/>
    <n v="32"/>
    <x v="1"/>
    <x v="2"/>
    <s v="30-39"/>
    <s v="男"/>
    <n v="9679"/>
  </r>
  <r>
    <n v="87657259"/>
    <n v="31"/>
    <x v="0"/>
    <x v="2"/>
    <s v="30-39"/>
    <s v="男"/>
    <n v="5617"/>
  </r>
  <r>
    <n v="86617940"/>
    <n v="53"/>
    <x v="0"/>
    <x v="2"/>
    <s v="&gt;=50"/>
    <s v="男"/>
    <n v="10448"/>
  </r>
  <r>
    <n v="86137337"/>
    <n v="54"/>
    <x v="1"/>
    <x v="0"/>
    <s v="&gt;=50"/>
    <s v="女"/>
    <n v="2897"/>
  </r>
  <r>
    <n v="89575681"/>
    <n v="33"/>
    <x v="1"/>
    <x v="0"/>
    <s v="30-39"/>
    <s v="男"/>
    <n v="5968"/>
  </r>
  <r>
    <n v="87587455"/>
    <n v="43"/>
    <x v="1"/>
    <x v="3"/>
    <s v="40-49"/>
    <s v="男"/>
    <n v="7510"/>
  </r>
  <r>
    <n v="81072498"/>
    <n v="38"/>
    <x v="2"/>
    <x v="2"/>
    <s v="30-39"/>
    <s v="男"/>
    <n v="2991"/>
  </r>
  <r>
    <n v="84321040"/>
    <n v="55"/>
    <x v="2"/>
    <x v="2"/>
    <s v="&gt;=50"/>
    <s v="男"/>
    <n v="19636"/>
  </r>
  <r>
    <n v="87828094"/>
    <n v="31"/>
    <x v="1"/>
    <x v="1"/>
    <s v="30-39"/>
    <s v="女"/>
    <n v="1129"/>
  </r>
  <r>
    <n v="86078307"/>
    <n v="39"/>
    <x v="0"/>
    <x v="2"/>
    <s v="30-39"/>
    <s v="男"/>
    <n v="13341"/>
  </r>
  <r>
    <n v="89948969"/>
    <n v="42"/>
    <x v="1"/>
    <x v="0"/>
    <s v="40-49"/>
    <s v="男"/>
    <n v="4332"/>
  </r>
  <r>
    <n v="84332536"/>
    <n v="31"/>
    <x v="1"/>
    <x v="3"/>
    <s v="30-39"/>
    <s v="女"/>
    <n v="11031"/>
  </r>
  <r>
    <n v="80180997"/>
    <n v="54"/>
    <x v="1"/>
    <x v="3"/>
    <s v="&gt;=50"/>
    <s v="女"/>
    <n v="4440"/>
  </r>
  <r>
    <n v="84562578"/>
    <n v="24"/>
    <x v="1"/>
    <x v="0"/>
    <s v="20-29"/>
    <s v="男"/>
    <n v="4617"/>
  </r>
  <r>
    <n v="81820497"/>
    <n v="23"/>
    <x v="1"/>
    <x v="0"/>
    <s v="20-29"/>
    <s v="男"/>
    <n v="2647"/>
  </r>
  <r>
    <n v="80617158"/>
    <n v="40"/>
    <x v="1"/>
    <x v="3"/>
    <s v="40-49"/>
    <s v="女"/>
    <n v="6323"/>
  </r>
  <r>
    <n v="85294491"/>
    <n v="40"/>
    <x v="0"/>
    <x v="0"/>
    <s v="40-49"/>
    <s v="女"/>
    <n v="5677"/>
  </r>
  <r>
    <n v="84392491"/>
    <n v="25"/>
    <x v="2"/>
    <x v="3"/>
    <s v="20-29"/>
    <s v="女"/>
    <n v="2187"/>
  </r>
  <r>
    <n v="82940712"/>
    <n v="30"/>
    <x v="1"/>
    <x v="0"/>
    <s v="30-39"/>
    <s v="男"/>
    <n v="3748"/>
  </r>
  <r>
    <n v="85508387"/>
    <n v="25"/>
    <x v="1"/>
    <x v="1"/>
    <s v="20-29"/>
    <s v="男"/>
    <n v="3977"/>
  </r>
  <r>
    <n v="89196096"/>
    <n v="47"/>
    <x v="1"/>
    <x v="3"/>
    <s v="40-49"/>
    <s v="男"/>
    <n v="8633"/>
  </r>
  <r>
    <n v="88585315"/>
    <n v="33"/>
    <x v="1"/>
    <x v="0"/>
    <s v="30-39"/>
    <s v="男"/>
    <n v="2008"/>
  </r>
  <r>
    <n v="87424913"/>
    <n v="38"/>
    <x v="0"/>
    <x v="2"/>
    <s v="30-39"/>
    <s v="男"/>
    <n v="4440"/>
  </r>
  <r>
    <n v="86487158"/>
    <n v="31"/>
    <x v="0"/>
    <x v="0"/>
    <s v="30-39"/>
    <s v="男"/>
    <n v="3067"/>
  </r>
  <r>
    <n v="86325439"/>
    <n v="38"/>
    <x v="1"/>
    <x v="2"/>
    <s v="30-39"/>
    <s v="男"/>
    <n v="5321"/>
  </r>
  <r>
    <n v="83988618"/>
    <n v="42"/>
    <x v="1"/>
    <x v="2"/>
    <s v="40-49"/>
    <s v="男"/>
    <n v="5410"/>
  </r>
  <r>
    <n v="81781577"/>
    <n v="41"/>
    <x v="1"/>
    <x v="3"/>
    <s v="40-49"/>
    <s v="男"/>
    <n v="2782"/>
  </r>
  <r>
    <n v="82906578"/>
    <n v="47"/>
    <x v="1"/>
    <x v="1"/>
    <s v="40-49"/>
    <s v="女"/>
    <n v="11957"/>
  </r>
  <r>
    <n v="80325795"/>
    <n v="35"/>
    <x v="1"/>
    <x v="2"/>
    <s v="30-39"/>
    <s v="男"/>
    <n v="2660"/>
  </r>
  <r>
    <n v="87948661"/>
    <n v="22"/>
    <x v="1"/>
    <x v="0"/>
    <s v="20-29"/>
    <s v="男"/>
    <n v="3375"/>
  </r>
  <r>
    <n v="80049890"/>
    <n v="35"/>
    <x v="1"/>
    <x v="2"/>
    <s v="30-39"/>
    <s v="男"/>
    <n v="5098"/>
  </r>
  <r>
    <n v="89414893"/>
    <n v="33"/>
    <x v="1"/>
    <x v="0"/>
    <s v="30-39"/>
    <s v="女"/>
    <n v="4878"/>
  </r>
  <r>
    <n v="81302376"/>
    <n v="32"/>
    <x v="1"/>
    <x v="2"/>
    <s v="30-39"/>
    <s v="女"/>
    <n v="2837"/>
  </r>
  <r>
    <n v="80429638"/>
    <n v="40"/>
    <x v="1"/>
    <x v="2"/>
    <s v="40-49"/>
    <s v="男"/>
    <n v="2406"/>
  </r>
  <r>
    <n v="83510802"/>
    <n v="32"/>
    <x v="0"/>
    <x v="2"/>
    <s v="30-39"/>
    <s v="男"/>
    <n v="2269"/>
  </r>
  <r>
    <n v="85742660"/>
    <n v="39"/>
    <x v="1"/>
    <x v="1"/>
    <s v="30-39"/>
    <s v="男"/>
    <n v="4108"/>
  </r>
  <r>
    <n v="84802084"/>
    <n v="38"/>
    <x v="1"/>
    <x v="3"/>
    <s v="30-39"/>
    <s v="女"/>
    <n v="13206"/>
  </r>
  <r>
    <n v="86080226"/>
    <n v="32"/>
    <x v="0"/>
    <x v="2"/>
    <s v="30-39"/>
    <s v="女"/>
    <n v="10422"/>
  </r>
  <r>
    <n v="89786848"/>
    <n v="37"/>
    <x v="1"/>
    <x v="3"/>
    <s v="30-39"/>
    <s v="女"/>
    <n v="13744"/>
  </r>
  <r>
    <n v="80800856"/>
    <n v="25"/>
    <x v="0"/>
    <x v="0"/>
    <s v="20-29"/>
    <s v="女"/>
    <n v="4907"/>
  </r>
  <r>
    <n v="85765310"/>
    <n v="52"/>
    <x v="0"/>
    <x v="2"/>
    <s v="&gt;=50"/>
    <s v="男"/>
    <n v="3482"/>
  </r>
  <r>
    <n v="89184237"/>
    <n v="44"/>
    <x v="1"/>
    <x v="3"/>
    <s v="40-49"/>
    <s v="男"/>
    <n v="2436"/>
  </r>
  <r>
    <n v="85463085"/>
    <n v="21"/>
    <x v="0"/>
    <x v="1"/>
    <s v="20-29"/>
    <s v="男"/>
    <n v="2380"/>
  </r>
  <r>
    <n v="87308249"/>
    <n v="39"/>
    <x v="1"/>
    <x v="3"/>
    <s v="30-39"/>
    <s v="男"/>
    <n v="19431"/>
  </r>
  <r>
    <n v="86527334"/>
    <n v="23"/>
    <x v="0"/>
    <x v="3"/>
    <s v="20-29"/>
    <s v="男"/>
    <n v="1790"/>
  </r>
  <r>
    <n v="86339901"/>
    <n v="36"/>
    <x v="0"/>
    <x v="3"/>
    <s v="30-39"/>
    <s v="女"/>
    <n v="7644"/>
  </r>
  <r>
    <n v="84759751"/>
    <n v="36"/>
    <x v="1"/>
    <x v="0"/>
    <s v="30-39"/>
    <s v="女"/>
    <n v="5131"/>
  </r>
  <r>
    <n v="84907016"/>
    <n v="56"/>
    <x v="1"/>
    <x v="2"/>
    <s v="&gt;=50"/>
    <s v="男"/>
    <n v="6306"/>
  </r>
  <r>
    <n v="89636606"/>
    <n v="29"/>
    <x v="1"/>
    <x v="2"/>
    <s v="20-29"/>
    <s v="男"/>
    <n v="4787"/>
  </r>
  <r>
    <n v="80044561"/>
    <n v="42"/>
    <x v="1"/>
    <x v="3"/>
    <s v="40-49"/>
    <s v="男"/>
    <n v="18880"/>
  </r>
  <r>
    <n v="83935786"/>
    <n v="56"/>
    <x v="1"/>
    <x v="0"/>
    <s v="&gt;=50"/>
    <s v="男"/>
    <n v="2339"/>
  </r>
  <r>
    <n v="83309332"/>
    <n v="41"/>
    <x v="1"/>
    <x v="2"/>
    <s v="40-49"/>
    <s v="女"/>
    <n v="13570"/>
  </r>
  <r>
    <n v="83976871"/>
    <n v="34"/>
    <x v="0"/>
    <x v="3"/>
    <s v="30-39"/>
    <s v="女"/>
    <n v="6712"/>
  </r>
  <r>
    <n v="82357090"/>
    <n v="36"/>
    <x v="0"/>
    <x v="2"/>
    <s v="30-39"/>
    <s v="男"/>
    <n v="5406"/>
  </r>
  <r>
    <n v="82046631"/>
    <n v="41"/>
    <x v="0"/>
    <x v="3"/>
    <s v="40-49"/>
    <s v="男"/>
    <n v="8938"/>
  </r>
  <r>
    <n v="86468091"/>
    <n v="32"/>
    <x v="1"/>
    <x v="3"/>
    <s v="30-39"/>
    <s v="男"/>
    <n v="2439"/>
  </r>
  <r>
    <n v="84530374"/>
    <n v="35"/>
    <x v="2"/>
    <x v="2"/>
    <s v="30-39"/>
    <s v="女"/>
    <n v="8837"/>
  </r>
  <r>
    <n v="80022892"/>
    <n v="38"/>
    <x v="0"/>
    <x v="0"/>
    <s v="30-39"/>
    <s v="女"/>
    <n v="5343"/>
  </r>
  <r>
    <n v="85168725"/>
    <n v="50"/>
    <x v="0"/>
    <x v="2"/>
    <s v="&gt;=50"/>
    <s v="男"/>
    <n v="6728"/>
  </r>
  <r>
    <n v="86886034"/>
    <n v="36"/>
    <x v="0"/>
    <x v="2"/>
    <s v="30-39"/>
    <s v="女"/>
    <n v="6652"/>
  </r>
  <r>
    <n v="84769868"/>
    <n v="45"/>
    <x v="0"/>
    <x v="3"/>
    <s v="40-49"/>
    <s v="女"/>
    <n v="4850"/>
  </r>
  <r>
    <n v="84277675"/>
    <n v="40"/>
    <x v="1"/>
    <x v="2"/>
    <s v="40-49"/>
    <s v="男"/>
    <n v="2809"/>
  </r>
  <r>
    <n v="85540926"/>
    <n v="35"/>
    <x v="1"/>
    <x v="2"/>
    <s v="30-39"/>
    <s v="男"/>
    <n v="5689"/>
  </r>
  <r>
    <n v="88811526"/>
    <n v="40"/>
    <x v="1"/>
    <x v="2"/>
    <s v="40-49"/>
    <s v="女"/>
    <n v="2001"/>
  </r>
  <r>
    <n v="89623876"/>
    <n v="35"/>
    <x v="1"/>
    <x v="2"/>
    <s v="30-39"/>
    <s v="女"/>
    <n v="2977"/>
  </r>
  <r>
    <n v="88765910"/>
    <n v="29"/>
    <x v="1"/>
    <x v="0"/>
    <s v="20-29"/>
    <s v="男"/>
    <n v="4025"/>
  </r>
  <r>
    <n v="87800286"/>
    <n v="29"/>
    <x v="1"/>
    <x v="2"/>
    <s v="20-29"/>
    <s v="女"/>
    <n v="3785"/>
  </r>
  <r>
    <n v="86971166"/>
    <n v="50"/>
    <x v="0"/>
    <x v="3"/>
    <s v="&gt;=50"/>
    <s v="男"/>
    <n v="10854"/>
  </r>
  <r>
    <n v="83557895"/>
    <n v="39"/>
    <x v="0"/>
    <x v="1"/>
    <s v="30-39"/>
    <s v="女"/>
    <n v="12031"/>
  </r>
  <r>
    <n v="89404004"/>
    <n v="31"/>
    <x v="3"/>
    <x v="3"/>
    <s v="30-39"/>
    <s v="男"/>
    <n v="9936"/>
  </r>
  <r>
    <n v="85797405"/>
    <n v="26"/>
    <x v="0"/>
    <x v="3"/>
    <s v="20-29"/>
    <s v="女"/>
    <n v="2966"/>
  </r>
  <r>
    <n v="88637086"/>
    <n v="36"/>
    <x v="3"/>
    <x v="0"/>
    <s v="30-39"/>
    <s v="男"/>
    <n v="2571"/>
  </r>
  <r>
    <n v="80514132"/>
    <n v="39"/>
    <x v="3"/>
    <x v="1"/>
    <s v="30-39"/>
    <s v="男"/>
    <n v="9991"/>
  </r>
  <r>
    <n v="84576300"/>
    <n v="27"/>
    <x v="3"/>
    <x v="3"/>
    <s v="20-29"/>
    <s v="男"/>
    <n v="6142"/>
  </r>
  <r>
    <n v="87248284"/>
    <n v="49"/>
    <x v="0"/>
    <x v="3"/>
    <s v="40-49"/>
    <s v="男"/>
    <n v="5390"/>
  </r>
  <r>
    <n v="85791664"/>
    <n v="34"/>
    <x v="3"/>
    <x v="3"/>
    <s v="30-39"/>
    <s v="男"/>
    <n v="440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1" cacheId="0" applyNumberFormats="0" applyBorderFormats="0" applyFontFormats="0" applyPatternFormats="0" applyAlignmentFormats="0" applyWidthHeightFormats="1" dataCaption="值" updatedVersion="8" minRefreshableVersion="3" useAutoFormatting="1" itemPrintTitles="1" createdVersion="8" indent="0" outline="1" outlineData="1" multipleFieldFilters="0" chartFormat="2">
  <location ref="B3:C9" firstHeaderRow="1" firstDataRow="1" firstDataCol="1"/>
  <pivotFields count="7">
    <pivotField showAll="0"/>
    <pivotField showAll="0"/>
    <pivotField showAll="0">
      <items count="8">
        <item h="1" x="6"/>
        <item h="1" x="4"/>
        <item h="1" x="5"/>
        <item h="1" x="2"/>
        <item x="3"/>
        <item h="1" x="0"/>
        <item h="1" x="1"/>
        <item t="default"/>
      </items>
    </pivotField>
    <pivotField axis="axisRow" showAll="0">
      <items count="6">
        <item x="3"/>
        <item x="4"/>
        <item x="1"/>
        <item x="2"/>
        <item x="0"/>
        <item t="default"/>
      </items>
    </pivotField>
    <pivotField showAll="0"/>
    <pivotField showAll="0"/>
    <pivotField dataField="1" showAll="0"/>
  </pivotFields>
  <rowFields count="1"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平均值项:月收入" fld="6" subtotal="average" baseField="3" baseItem="0" numFmtId="176"/>
  </dataFields>
  <formats count="6">
    <format dxfId="5">
      <pivotArea type="all" dataOnly="0" outline="0" fieldPosition="0"/>
    </format>
    <format dxfId="4">
      <pivotArea outline="0" collapsedLevelsAreSubtotals="1" fieldPosition="0"/>
    </format>
    <format dxfId="3">
      <pivotArea field="3" type="button" dataOnly="0" labelOnly="1" outline="0" axis="axisRow" fieldPosition="0"/>
    </format>
    <format dxfId="2">
      <pivotArea dataOnly="0" labelOnly="1" fieldPosition="0">
        <references count="1">
          <reference field="3" count="0"/>
        </references>
      </pivotArea>
    </format>
    <format dxfId="1">
      <pivotArea dataOnly="0" labelOnly="1" grandRow="1" outline="0" fieldPosition="0"/>
    </format>
    <format dxfId="0">
      <pivotArea dataOnly="0" labelOnly="1" outline="0" axis="axisValues" fieldPosition="0"/>
    </format>
  </formats>
  <chartFormats count="1"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切片器_部门" xr10:uid="{91D1B358-7692-48C9-85CB-275EF8D27F67}" sourceName="部门">
  <pivotTables>
    <pivotTable tabId="29" name="数据透视表1"/>
  </pivotTables>
  <data>
    <tabular pivotCacheId="1506306922">
      <items count="7">
        <i x="6"/>
        <i x="4"/>
        <i x="5"/>
        <i x="2"/>
        <i x="3" s="1"/>
        <i x="0"/>
        <i x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部门" xr10:uid="{86040860-B096-43BA-ABB7-29CE28B34BBD}" cache="切片器_部门" caption="部门" columnCount="4" rowHeight="201613"/>
</slicer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6"/>
  <dimension ref="B2:J20"/>
  <sheetViews>
    <sheetView workbookViewId="0">
      <selection activeCell="N25" sqref="N25"/>
    </sheetView>
  </sheetViews>
  <sheetFormatPr defaultRowHeight="13.5"/>
  <cols>
    <col min="10" max="10" width="10.75" bestFit="1" customWidth="1"/>
    <col min="11" max="11" width="10.75" customWidth="1"/>
  </cols>
  <sheetData>
    <row r="2" spans="2:10">
      <c r="B2" s="58" t="s">
        <v>18</v>
      </c>
      <c r="C2" s="58"/>
      <c r="D2" s="58"/>
      <c r="E2" s="58"/>
      <c r="F2" s="58"/>
      <c r="G2" s="58"/>
      <c r="H2" s="58"/>
      <c r="J2" s="37" t="s">
        <v>21</v>
      </c>
    </row>
    <row r="3" spans="2:10">
      <c r="B3" s="36" t="s">
        <v>14</v>
      </c>
      <c r="C3" s="36" t="s">
        <v>0</v>
      </c>
      <c r="D3" s="36" t="s">
        <v>1</v>
      </c>
      <c r="E3" s="36" t="s">
        <v>2</v>
      </c>
      <c r="F3" s="36" t="s">
        <v>3</v>
      </c>
      <c r="G3" s="36" t="s">
        <v>4</v>
      </c>
      <c r="H3" s="36" t="s">
        <v>5</v>
      </c>
      <c r="J3" s="1">
        <v>5</v>
      </c>
    </row>
    <row r="4" spans="2:10">
      <c r="B4" s="35" t="s">
        <v>20</v>
      </c>
      <c r="C4" s="35">
        <v>259</v>
      </c>
      <c r="D4" s="35">
        <v>247</v>
      </c>
      <c r="E4" s="35">
        <v>705</v>
      </c>
      <c r="F4" s="35">
        <v>513</v>
      </c>
      <c r="G4" s="35">
        <v>463</v>
      </c>
      <c r="H4" s="35">
        <v>384</v>
      </c>
      <c r="I4" s="2"/>
    </row>
    <row r="5" spans="2:10">
      <c r="B5" s="35" t="s">
        <v>6</v>
      </c>
      <c r="C5" s="35">
        <v>235</v>
      </c>
      <c r="D5" s="35">
        <v>266</v>
      </c>
      <c r="E5" s="35">
        <v>529</v>
      </c>
      <c r="F5" s="35">
        <v>324</v>
      </c>
      <c r="G5" s="35">
        <v>579</v>
      </c>
      <c r="H5" s="35">
        <v>282</v>
      </c>
      <c r="I5" s="2"/>
    </row>
    <row r="6" spans="2:10">
      <c r="B6" s="35" t="s">
        <v>7</v>
      </c>
      <c r="C6" s="35">
        <v>330</v>
      </c>
      <c r="D6" s="35">
        <v>342</v>
      </c>
      <c r="E6" s="35">
        <v>705</v>
      </c>
      <c r="F6" s="35">
        <v>540</v>
      </c>
      <c r="G6" s="35">
        <v>492</v>
      </c>
      <c r="H6" s="35">
        <v>308</v>
      </c>
      <c r="I6" s="2"/>
    </row>
    <row r="7" spans="2:10">
      <c r="B7" s="35" t="s">
        <v>8</v>
      </c>
      <c r="C7" s="35">
        <v>282</v>
      </c>
      <c r="D7" s="35">
        <v>342</v>
      </c>
      <c r="E7" s="35">
        <v>599</v>
      </c>
      <c r="F7" s="35">
        <v>270</v>
      </c>
      <c r="G7" s="35">
        <v>492</v>
      </c>
      <c r="H7" s="35">
        <v>384</v>
      </c>
      <c r="I7" s="2"/>
    </row>
    <row r="8" spans="2:10">
      <c r="B8" s="35" t="s">
        <v>12</v>
      </c>
      <c r="C8" s="35">
        <v>282</v>
      </c>
      <c r="D8" s="35">
        <v>323</v>
      </c>
      <c r="E8" s="35">
        <v>705</v>
      </c>
      <c r="F8" s="35">
        <v>486</v>
      </c>
      <c r="G8" s="35">
        <v>405</v>
      </c>
      <c r="H8" s="35">
        <v>308</v>
      </c>
      <c r="I8" s="2"/>
    </row>
    <row r="9" spans="2:10">
      <c r="B9" s="35" t="s">
        <v>13</v>
      </c>
      <c r="C9" s="35">
        <v>965</v>
      </c>
      <c r="D9" s="35">
        <v>380</v>
      </c>
      <c r="E9" s="35">
        <v>282</v>
      </c>
      <c r="F9" s="35">
        <v>567</v>
      </c>
      <c r="G9" s="35">
        <v>463</v>
      </c>
      <c r="H9" s="35">
        <v>897</v>
      </c>
      <c r="I9" s="2"/>
    </row>
    <row r="11" spans="2:10">
      <c r="B11" s="57" t="s">
        <v>19</v>
      </c>
      <c r="C11" s="57"/>
      <c r="D11" s="57"/>
      <c r="E11" s="57"/>
      <c r="F11" s="57"/>
      <c r="G11" s="57"/>
      <c r="H11" s="57"/>
    </row>
    <row r="12" spans="2:10">
      <c r="B12" s="36" t="s">
        <v>14</v>
      </c>
      <c r="C12" s="36" t="s">
        <v>0</v>
      </c>
      <c r="D12" s="36" t="s">
        <v>1</v>
      </c>
      <c r="E12" s="36" t="s">
        <v>2</v>
      </c>
      <c r="F12" s="36" t="s">
        <v>3</v>
      </c>
      <c r="G12" s="36" t="s">
        <v>4</v>
      </c>
      <c r="H12" s="36" t="s">
        <v>5</v>
      </c>
    </row>
    <row r="13" spans="2:10">
      <c r="B13" s="35" t="str">
        <f>INDEX(B4:B9,J3)</f>
        <v>5月</v>
      </c>
      <c r="C13" s="35">
        <f>VLOOKUP($B$13,$B$3:$H$9,COLUMN(B2),0)</f>
        <v>282</v>
      </c>
      <c r="D13" s="35">
        <f t="shared" ref="D13:H13" si="0">VLOOKUP($B$13,$B$3:$H$9,COLUMN(C2),0)</f>
        <v>323</v>
      </c>
      <c r="E13" s="35">
        <f t="shared" si="0"/>
        <v>705</v>
      </c>
      <c r="F13" s="35">
        <f t="shared" si="0"/>
        <v>486</v>
      </c>
      <c r="G13" s="35">
        <f t="shared" si="0"/>
        <v>405</v>
      </c>
      <c r="H13" s="35">
        <f t="shared" si="0"/>
        <v>308</v>
      </c>
    </row>
    <row r="14" spans="2:10">
      <c r="B14" t="s">
        <v>66</v>
      </c>
      <c r="C14" s="39" t="s">
        <v>65</v>
      </c>
    </row>
    <row r="15" spans="2:10">
      <c r="B15" t="s">
        <v>67</v>
      </c>
      <c r="C15" s="39" t="s">
        <v>68</v>
      </c>
    </row>
    <row r="20" ht="13.5" customHeight="1"/>
  </sheetData>
  <mergeCells count="2">
    <mergeCell ref="B11:H11"/>
    <mergeCell ref="B2:H2"/>
  </mergeCells>
  <phoneticPr fontId="1" type="noConversion"/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7"/>
  <dimension ref="B2:R23"/>
  <sheetViews>
    <sheetView workbookViewId="0">
      <selection activeCell="X1" sqref="X1:X1048576"/>
    </sheetView>
  </sheetViews>
  <sheetFormatPr defaultRowHeight="13.5"/>
  <cols>
    <col min="3" max="3" width="9.125" customWidth="1"/>
    <col min="7" max="7" width="9.125" customWidth="1"/>
    <col min="9" max="9" width="3.625" customWidth="1"/>
  </cols>
  <sheetData>
    <row r="2" spans="2:18">
      <c r="B2" s="59" t="s">
        <v>18</v>
      </c>
      <c r="C2" s="59"/>
      <c r="D2" s="59"/>
      <c r="E2" s="59"/>
      <c r="F2" s="59"/>
      <c r="H2" s="60" t="s">
        <v>19</v>
      </c>
      <c r="I2" s="61"/>
      <c r="J2" s="61"/>
      <c r="K2" t="s">
        <v>69</v>
      </c>
    </row>
    <row r="3" spans="2:18">
      <c r="B3" s="36" t="s">
        <v>22</v>
      </c>
      <c r="C3" s="36" t="s">
        <v>28</v>
      </c>
      <c r="D3" s="36" t="s">
        <v>29</v>
      </c>
      <c r="E3" s="36" t="s">
        <v>30</v>
      </c>
      <c r="F3" s="36" t="s">
        <v>31</v>
      </c>
      <c r="H3" s="43" t="s">
        <v>22</v>
      </c>
      <c r="I3" s="43" t="str">
        <f>G17</f>
        <v>1月</v>
      </c>
      <c r="J3" s="36" t="s">
        <v>16</v>
      </c>
      <c r="K3" s="38" t="s">
        <v>70</v>
      </c>
      <c r="L3" s="46"/>
      <c r="M3" s="46"/>
      <c r="N3" s="46"/>
      <c r="O3" s="46"/>
      <c r="P3" s="46"/>
      <c r="Q3" s="46"/>
      <c r="R3" s="46"/>
    </row>
    <row r="4" spans="2:18">
      <c r="B4" s="35" t="s">
        <v>23</v>
      </c>
      <c r="C4" s="35">
        <v>130</v>
      </c>
      <c r="D4" s="35">
        <v>138</v>
      </c>
      <c r="E4" s="35">
        <v>130</v>
      </c>
      <c r="F4" s="35">
        <v>129</v>
      </c>
      <c r="G4" s="2"/>
      <c r="H4" s="49" t="s">
        <v>23</v>
      </c>
      <c r="I4" s="50">
        <f t="shared" ref="I4:I10" si="0">VLOOKUP(H4,$B$3:$F$10,MATCH($Q$5,$C$3:$F$3)+1,0)</f>
        <v>129</v>
      </c>
      <c r="J4" s="10">
        <f t="shared" ref="J4:J9" si="1">SUM($I$4:$I$9)*0.5-I4</f>
        <v>689.5</v>
      </c>
      <c r="K4" s="2"/>
      <c r="L4" s="47"/>
      <c r="M4" s="47"/>
      <c r="N4" s="46"/>
      <c r="O4" s="46"/>
      <c r="P4" s="46"/>
      <c r="Q4" s="46"/>
      <c r="R4" s="46"/>
    </row>
    <row r="5" spans="2:18">
      <c r="B5" s="35" t="s">
        <v>36</v>
      </c>
      <c r="C5" s="35">
        <v>226</v>
      </c>
      <c r="D5" s="35">
        <v>206</v>
      </c>
      <c r="E5" s="35">
        <v>217</v>
      </c>
      <c r="F5" s="35">
        <v>226</v>
      </c>
      <c r="G5" s="2"/>
      <c r="H5" s="49" t="s">
        <v>36</v>
      </c>
      <c r="I5" s="50">
        <f t="shared" si="0"/>
        <v>226</v>
      </c>
      <c r="J5" s="10">
        <f t="shared" si="1"/>
        <v>592.5</v>
      </c>
      <c r="K5" s="2"/>
      <c r="L5" s="47"/>
      <c r="M5" s="47"/>
      <c r="N5" s="46"/>
      <c r="O5" s="46"/>
      <c r="P5" s="46"/>
      <c r="Q5" s="48" t="s">
        <v>8</v>
      </c>
      <c r="R5" s="46"/>
    </row>
    <row r="6" spans="2:18">
      <c r="B6" s="35" t="s">
        <v>24</v>
      </c>
      <c r="C6" s="35">
        <v>238</v>
      </c>
      <c r="D6" s="35">
        <v>228</v>
      </c>
      <c r="E6" s="35">
        <v>255</v>
      </c>
      <c r="F6" s="35">
        <v>226</v>
      </c>
      <c r="G6" s="2"/>
      <c r="H6" s="49" t="s">
        <v>24</v>
      </c>
      <c r="I6" s="50">
        <f t="shared" si="0"/>
        <v>226</v>
      </c>
      <c r="J6" s="10">
        <f t="shared" si="1"/>
        <v>592.5</v>
      </c>
      <c r="K6" s="2"/>
      <c r="L6" s="47"/>
      <c r="M6" s="47"/>
      <c r="N6" s="46"/>
      <c r="O6" s="46"/>
      <c r="P6" s="46"/>
      <c r="Q6" s="46"/>
      <c r="R6" s="46"/>
    </row>
    <row r="7" spans="2:18">
      <c r="B7" s="35" t="s">
        <v>25</v>
      </c>
      <c r="C7" s="35">
        <v>293</v>
      </c>
      <c r="D7" s="35">
        <v>305</v>
      </c>
      <c r="E7" s="35">
        <v>314</v>
      </c>
      <c r="F7" s="35">
        <v>264</v>
      </c>
      <c r="G7" s="2"/>
      <c r="H7" s="49" t="s">
        <v>25</v>
      </c>
      <c r="I7" s="50">
        <f t="shared" si="0"/>
        <v>264</v>
      </c>
      <c r="J7" s="10">
        <f t="shared" si="1"/>
        <v>554.5</v>
      </c>
      <c r="K7" s="2"/>
      <c r="L7" s="2"/>
      <c r="M7" s="2"/>
    </row>
    <row r="8" spans="2:18">
      <c r="B8" s="35" t="s">
        <v>26</v>
      </c>
      <c r="C8" s="35">
        <v>326</v>
      </c>
      <c r="D8" s="35">
        <v>349</v>
      </c>
      <c r="E8" s="35">
        <v>316</v>
      </c>
      <c r="F8" s="35">
        <v>359</v>
      </c>
      <c r="G8" s="2"/>
      <c r="H8" s="49" t="s">
        <v>26</v>
      </c>
      <c r="I8" s="50">
        <f t="shared" si="0"/>
        <v>359</v>
      </c>
      <c r="J8" s="10">
        <f t="shared" si="1"/>
        <v>459.5</v>
      </c>
      <c r="K8" s="2"/>
      <c r="L8" s="2"/>
      <c r="M8" s="2"/>
    </row>
    <row r="9" spans="2:18">
      <c r="B9" s="35" t="s">
        <v>27</v>
      </c>
      <c r="C9" s="35">
        <v>451</v>
      </c>
      <c r="D9" s="35">
        <v>456</v>
      </c>
      <c r="E9" s="35">
        <v>406</v>
      </c>
      <c r="F9" s="35">
        <v>433</v>
      </c>
      <c r="G9" s="2"/>
      <c r="H9" s="49" t="s">
        <v>27</v>
      </c>
      <c r="I9" s="50">
        <f t="shared" si="0"/>
        <v>433</v>
      </c>
      <c r="J9" s="10">
        <f t="shared" si="1"/>
        <v>385.5</v>
      </c>
      <c r="K9" s="2"/>
      <c r="L9" s="2"/>
      <c r="M9" s="2"/>
    </row>
    <row r="10" spans="2:18">
      <c r="B10" s="35" t="s">
        <v>33</v>
      </c>
      <c r="C10" s="40" t="str">
        <f>C3&amp;"公司总人数为"&amp;SUM(C4:C9)</f>
        <v>1月公司总人数为1664</v>
      </c>
      <c r="D10" s="40" t="str">
        <f>D3&amp;"公司总人数为"&amp;SUM(D4:D9)</f>
        <v>2月公司总人数为1682</v>
      </c>
      <c r="E10" s="40" t="str">
        <f>E3&amp;"公司总人数为"&amp;SUM(E4:E9)</f>
        <v>3月公司总人数为1638</v>
      </c>
      <c r="F10" s="3" t="str">
        <f>F3&amp;"公司总人数为"&amp;SUM(F4:F9)</f>
        <v>4月公司总人数为1637</v>
      </c>
      <c r="G10" s="2"/>
      <c r="H10" s="10" t="s">
        <v>32</v>
      </c>
      <c r="I10" s="44" t="str">
        <f t="shared" si="0"/>
        <v>4月公司总人数为1637</v>
      </c>
      <c r="J10" s="45"/>
      <c r="K10" s="2"/>
      <c r="L10" s="2"/>
      <c r="M10" s="2"/>
    </row>
    <row r="11" spans="2:18">
      <c r="B11" s="41" t="s">
        <v>35</v>
      </c>
      <c r="C11" s="42" t="s">
        <v>34</v>
      </c>
      <c r="D11" s="41"/>
      <c r="E11" s="41"/>
      <c r="F11" s="2"/>
      <c r="G11" s="2"/>
      <c r="H11" s="2"/>
      <c r="I11" s="2"/>
      <c r="J11" s="2"/>
      <c r="K11" s="2"/>
      <c r="L11" s="2"/>
      <c r="M11" s="2"/>
    </row>
    <row r="12" spans="2:18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</row>
    <row r="13" spans="2:18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</row>
    <row r="14" spans="2:18">
      <c r="E14" s="2"/>
      <c r="F14" s="2"/>
      <c r="G14" s="2"/>
      <c r="H14" s="2"/>
      <c r="I14" s="2"/>
      <c r="J14" s="2"/>
      <c r="K14" s="2"/>
      <c r="L14" s="2"/>
      <c r="M14" s="2"/>
    </row>
    <row r="17" spans="7:11">
      <c r="G17" s="1" t="s">
        <v>20</v>
      </c>
    </row>
    <row r="23" spans="7:11">
      <c r="J23" s="1"/>
      <c r="K23" s="1"/>
    </row>
  </sheetData>
  <mergeCells count="2">
    <mergeCell ref="B2:F2"/>
    <mergeCell ref="H2:J2"/>
  </mergeCells>
  <phoneticPr fontId="1" type="noConversion"/>
  <dataValidations count="1">
    <dataValidation type="list" allowBlank="1" showInputMessage="1" showErrorMessage="1" sqref="J23:K23 Q5 G17">
      <formula1>$C$3:$F$3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8"/>
  <dimension ref="B2:J16"/>
  <sheetViews>
    <sheetView workbookViewId="0">
      <selection activeCell="R31" sqref="R31"/>
    </sheetView>
  </sheetViews>
  <sheetFormatPr defaultRowHeight="13.5"/>
  <sheetData>
    <row r="2" spans="2:10">
      <c r="B2" s="59" t="s">
        <v>18</v>
      </c>
      <c r="C2" s="59"/>
      <c r="D2" s="59"/>
      <c r="E2" s="59"/>
      <c r="F2" s="59"/>
      <c r="G2" s="59"/>
      <c r="I2" s="11" t="s">
        <v>37</v>
      </c>
    </row>
    <row r="3" spans="2:10">
      <c r="B3" s="6" t="s">
        <v>38</v>
      </c>
      <c r="C3" s="4" t="s">
        <v>39</v>
      </c>
      <c r="D3" s="4" t="s">
        <v>40</v>
      </c>
      <c r="E3" s="4" t="s">
        <v>41</v>
      </c>
      <c r="F3" s="4" t="s">
        <v>42</v>
      </c>
      <c r="G3" s="5" t="s">
        <v>43</v>
      </c>
      <c r="I3" s="2">
        <v>1</v>
      </c>
    </row>
    <row r="4" spans="2:10">
      <c r="B4" s="6" t="s">
        <v>44</v>
      </c>
      <c r="C4" s="4">
        <v>0.44</v>
      </c>
      <c r="D4" s="4">
        <v>0.17</v>
      </c>
      <c r="E4" s="4">
        <v>0.15</v>
      </c>
      <c r="F4" s="4">
        <v>0.08</v>
      </c>
      <c r="G4" s="5">
        <v>0.16</v>
      </c>
    </row>
    <row r="5" spans="2:10">
      <c r="B5" s="7" t="s">
        <v>45</v>
      </c>
      <c r="C5" s="8">
        <v>0.38</v>
      </c>
      <c r="D5" s="8">
        <v>0.21</v>
      </c>
      <c r="E5" s="8">
        <v>0.15</v>
      </c>
      <c r="F5" s="8">
        <v>0.09</v>
      </c>
      <c r="G5" s="9">
        <v>0.17</v>
      </c>
    </row>
    <row r="6" spans="2:10">
      <c r="B6" s="10"/>
      <c r="C6" s="4"/>
      <c r="D6" s="4"/>
      <c r="E6" s="4"/>
      <c r="F6" s="4"/>
      <c r="G6" s="4"/>
    </row>
    <row r="7" spans="2:10">
      <c r="B7" s="10"/>
      <c r="C7" s="4"/>
      <c r="D7" s="4"/>
      <c r="E7" s="4"/>
      <c r="F7" s="4"/>
      <c r="G7" s="4"/>
    </row>
    <row r="8" spans="2:10">
      <c r="B8" s="10"/>
      <c r="C8" s="4"/>
      <c r="D8" s="4"/>
      <c r="E8" s="4"/>
      <c r="F8" s="4"/>
      <c r="G8" s="4"/>
    </row>
    <row r="9" spans="2:10">
      <c r="B9" s="10"/>
      <c r="C9" s="4"/>
      <c r="D9" s="4"/>
      <c r="E9" s="4"/>
      <c r="F9" s="4"/>
      <c r="G9" s="4"/>
    </row>
    <row r="10" spans="2:10">
      <c r="B10" s="10"/>
      <c r="C10" s="4"/>
      <c r="D10" s="4"/>
      <c r="E10" s="4"/>
      <c r="F10" s="4"/>
      <c r="G10" s="4"/>
    </row>
    <row r="11" spans="2:10">
      <c r="B11" s="62" t="s">
        <v>19</v>
      </c>
      <c r="C11" s="63"/>
      <c r="D11" s="63"/>
      <c r="E11" s="63"/>
      <c r="F11" s="63"/>
      <c r="G11" s="64"/>
    </row>
    <row r="12" spans="2:10">
      <c r="B12" s="6" t="s">
        <v>38</v>
      </c>
      <c r="C12" s="4" t="s">
        <v>39</v>
      </c>
      <c r="D12" s="4" t="s">
        <v>40</v>
      </c>
      <c r="E12" s="4" t="s">
        <v>41</v>
      </c>
      <c r="F12" s="4" t="s">
        <v>42</v>
      </c>
      <c r="G12" s="5" t="s">
        <v>43</v>
      </c>
    </row>
    <row r="13" spans="2:10">
      <c r="B13" s="12" t="str">
        <f>HLOOKUP(B12,$B$3:$G$5,$I$3+1,0)</f>
        <v>近7天</v>
      </c>
      <c r="C13" s="12">
        <f t="shared" ref="C13:G13" si="0">HLOOKUP(C12,$B$3:$G$5,$I$3+1,0)</f>
        <v>0.44</v>
      </c>
      <c r="D13" s="12">
        <f t="shared" si="0"/>
        <v>0.17</v>
      </c>
      <c r="E13" s="12">
        <f t="shared" si="0"/>
        <v>0.15</v>
      </c>
      <c r="F13" s="12">
        <f t="shared" si="0"/>
        <v>0.08</v>
      </c>
      <c r="G13" s="12">
        <f t="shared" si="0"/>
        <v>0.16</v>
      </c>
    </row>
    <row r="16" spans="2:10">
      <c r="H16" s="1"/>
      <c r="I16" s="1"/>
      <c r="J16" s="1"/>
    </row>
  </sheetData>
  <mergeCells count="2">
    <mergeCell ref="B2:G2"/>
    <mergeCell ref="B11:G11"/>
  </mergeCells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9">
    <tabColor theme="0"/>
  </sheetPr>
  <dimension ref="A2:G20"/>
  <sheetViews>
    <sheetView zoomScaleNormal="100" workbookViewId="0">
      <selection activeCell="N40" sqref="N40"/>
    </sheetView>
  </sheetViews>
  <sheetFormatPr defaultRowHeight="13.5"/>
  <cols>
    <col min="1" max="5" width="8.625" customWidth="1"/>
  </cols>
  <sheetData>
    <row r="2" spans="1:6">
      <c r="B2" s="65" t="s">
        <v>17</v>
      </c>
      <c r="C2" s="65"/>
      <c r="D2" s="65"/>
      <c r="E2" s="65"/>
      <c r="F2" s="65"/>
    </row>
    <row r="3" spans="1:6">
      <c r="B3" s="13" t="s">
        <v>15</v>
      </c>
      <c r="C3" s="13" t="s">
        <v>9</v>
      </c>
      <c r="D3" s="13" t="s">
        <v>10</v>
      </c>
      <c r="E3" s="13" t="s">
        <v>11</v>
      </c>
      <c r="F3" s="13" t="s">
        <v>46</v>
      </c>
    </row>
    <row r="4" spans="1:6">
      <c r="B4" s="14" t="s">
        <v>47</v>
      </c>
      <c r="C4" s="15">
        <v>2800</v>
      </c>
      <c r="D4" s="15">
        <v>2564</v>
      </c>
      <c r="E4" s="15">
        <v>2282</v>
      </c>
      <c r="F4" s="15">
        <v>2353</v>
      </c>
    </row>
    <row r="5" spans="1:6">
      <c r="B5" s="14" t="s">
        <v>48</v>
      </c>
      <c r="C5" s="15">
        <v>1896</v>
      </c>
      <c r="D5" s="15">
        <v>1563</v>
      </c>
      <c r="E5" s="15">
        <v>986</v>
      </c>
      <c r="F5" s="15">
        <v>1324</v>
      </c>
    </row>
    <row r="6" spans="1:6">
      <c r="B6" s="14" t="s">
        <v>49</v>
      </c>
      <c r="C6" s="16">
        <f>C5/C4</f>
        <v>0.67714285714285716</v>
      </c>
      <c r="D6" s="16">
        <f t="shared" ref="D6:F6" si="0">D5/D4</f>
        <v>0.60959438377535102</v>
      </c>
      <c r="E6" s="16">
        <f t="shared" si="0"/>
        <v>0.43207712532865905</v>
      </c>
      <c r="F6" s="16">
        <f t="shared" si="0"/>
        <v>0.56268593285167867</v>
      </c>
    </row>
    <row r="12" spans="1:6" ht="14.25" customHeight="1"/>
    <row r="13" spans="1:6">
      <c r="A13" s="1"/>
      <c r="C13" t="b">
        <v>1</v>
      </c>
      <c r="D13" t="b">
        <v>1</v>
      </c>
      <c r="E13" t="b">
        <v>1</v>
      </c>
    </row>
    <row r="14" spans="1:6">
      <c r="A14" s="1"/>
    </row>
    <row r="16" spans="1:6" ht="14.25">
      <c r="B16" s="66" t="s">
        <v>17</v>
      </c>
      <c r="C16" s="66"/>
      <c r="D16" s="66"/>
      <c r="E16" s="66"/>
      <c r="F16" s="66"/>
    </row>
    <row r="17" spans="2:7">
      <c r="B17" s="17" t="s">
        <v>15</v>
      </c>
      <c r="C17" s="17" t="s">
        <v>9</v>
      </c>
      <c r="D17" s="17" t="s">
        <v>10</v>
      </c>
      <c r="E17" s="17" t="s">
        <v>11</v>
      </c>
      <c r="F17" s="17" t="s">
        <v>46</v>
      </c>
    </row>
    <row r="18" spans="2:7">
      <c r="B18" s="18" t="str">
        <f>B4</f>
        <v>销售额</v>
      </c>
      <c r="C18" s="20">
        <f>IF($C$13,C4,-100)</f>
        <v>2800</v>
      </c>
      <c r="D18" s="20">
        <f t="shared" ref="D18:E18" si="1">IF($C$13,D4,-100)</f>
        <v>2564</v>
      </c>
      <c r="E18" s="20">
        <f t="shared" si="1"/>
        <v>2282</v>
      </c>
      <c r="F18" s="20">
        <f>IF($C$13,F4,-100)</f>
        <v>2353</v>
      </c>
      <c r="G18" t="s">
        <v>50</v>
      </c>
    </row>
    <row r="19" spans="2:7">
      <c r="B19" s="18" t="str">
        <f t="shared" ref="B19" si="2">B5</f>
        <v>利润</v>
      </c>
      <c r="C19" s="20">
        <f>IF($D$13,C5,-200)</f>
        <v>1896</v>
      </c>
      <c r="D19" s="20">
        <f t="shared" ref="D19:E19" si="3">IF($D$13,D5,-200)</f>
        <v>1563</v>
      </c>
      <c r="E19" s="20">
        <f t="shared" si="3"/>
        <v>986</v>
      </c>
      <c r="F19" s="20">
        <f>IF($D$13,F5,-200)</f>
        <v>1324</v>
      </c>
      <c r="G19" t="s">
        <v>51</v>
      </c>
    </row>
    <row r="20" spans="2:7">
      <c r="B20" s="18" t="str">
        <f t="shared" ref="B20" si="4">B6</f>
        <v>利润率</v>
      </c>
      <c r="C20" s="19">
        <f>IF($E$13,C6,-2)</f>
        <v>0.67714285714285716</v>
      </c>
      <c r="D20" s="19">
        <f t="shared" ref="D20:E20" si="5">IF($E$13,D6,-2)</f>
        <v>0.60959438377535102</v>
      </c>
      <c r="E20" s="19">
        <f t="shared" si="5"/>
        <v>0.43207712532865905</v>
      </c>
      <c r="F20" s="19">
        <f>IF($E$13,F6,-2)</f>
        <v>0.56268593285167867</v>
      </c>
      <c r="G20" t="s">
        <v>52</v>
      </c>
    </row>
  </sheetData>
  <mergeCells count="2">
    <mergeCell ref="B2:F2"/>
    <mergeCell ref="B16:F16"/>
  </mergeCells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>
  <dimension ref="A1:G1471"/>
  <sheetViews>
    <sheetView tabSelected="1" topLeftCell="A1402" zoomScaleNormal="100" workbookViewId="0">
      <selection activeCell="C1450" sqref="C1450"/>
    </sheetView>
  </sheetViews>
  <sheetFormatPr defaultColWidth="9.125" defaultRowHeight="13.5"/>
  <cols>
    <col min="1" max="2" width="9.125" style="53"/>
    <col min="3" max="3" width="12.125" style="53" customWidth="1"/>
    <col min="4" max="4" width="10" style="53" bestFit="1" customWidth="1"/>
    <col min="5" max="5" width="9.125" style="51"/>
    <col min="6" max="6" width="9.125" style="53"/>
    <col min="7" max="7" width="8.25" style="53" customWidth="1"/>
    <col min="8" max="16384" width="9.125" style="51"/>
  </cols>
  <sheetData>
    <row r="1" spans="1:7">
      <c r="A1" s="53" t="s">
        <v>102</v>
      </c>
      <c r="B1" s="53" t="s">
        <v>101</v>
      </c>
      <c r="C1" s="53" t="s">
        <v>100</v>
      </c>
      <c r="D1" s="53" t="s">
        <v>99</v>
      </c>
      <c r="E1" s="53" t="s">
        <v>105</v>
      </c>
      <c r="F1" s="53" t="s">
        <v>104</v>
      </c>
      <c r="G1" s="53" t="s">
        <v>103</v>
      </c>
    </row>
    <row r="2" spans="1:7">
      <c r="A2" s="53">
        <v>84343226</v>
      </c>
      <c r="B2" s="53">
        <v>41</v>
      </c>
      <c r="C2" s="53" t="s">
        <v>85</v>
      </c>
      <c r="D2" s="53" t="s">
        <v>88</v>
      </c>
      <c r="E2" s="51" t="s">
        <v>84</v>
      </c>
      <c r="F2" s="53" t="s">
        <v>89</v>
      </c>
      <c r="G2" s="53">
        <v>5993</v>
      </c>
    </row>
    <row r="3" spans="1:7">
      <c r="A3" s="53">
        <v>80025823</v>
      </c>
      <c r="B3" s="53">
        <v>49</v>
      </c>
      <c r="C3" s="53" t="s">
        <v>92</v>
      </c>
      <c r="D3" s="53" t="s">
        <v>87</v>
      </c>
      <c r="E3" s="51" t="s">
        <v>84</v>
      </c>
      <c r="F3" s="53" t="s">
        <v>80</v>
      </c>
      <c r="G3" s="53">
        <v>5130</v>
      </c>
    </row>
    <row r="4" spans="1:7">
      <c r="A4" s="53">
        <v>83441497</v>
      </c>
      <c r="B4" s="53">
        <v>37</v>
      </c>
      <c r="C4" s="53" t="s">
        <v>93</v>
      </c>
      <c r="D4" s="53" t="s">
        <v>88</v>
      </c>
      <c r="E4" s="51" t="s">
        <v>81</v>
      </c>
      <c r="F4" s="53" t="s">
        <v>80</v>
      </c>
      <c r="G4" s="53">
        <v>2090</v>
      </c>
    </row>
    <row r="5" spans="1:7">
      <c r="A5" s="53">
        <v>87541418</v>
      </c>
      <c r="B5" s="53">
        <v>33</v>
      </c>
      <c r="C5" s="53" t="s">
        <v>83</v>
      </c>
      <c r="D5" s="53" t="s">
        <v>91</v>
      </c>
      <c r="E5" s="51" t="s">
        <v>81</v>
      </c>
      <c r="F5" s="53" t="s">
        <v>89</v>
      </c>
      <c r="G5" s="53">
        <v>2909</v>
      </c>
    </row>
    <row r="6" spans="1:7">
      <c r="A6" s="53">
        <v>85461701</v>
      </c>
      <c r="B6" s="53">
        <v>27</v>
      </c>
      <c r="C6" s="53" t="s">
        <v>98</v>
      </c>
      <c r="D6" s="53" t="s">
        <v>87</v>
      </c>
      <c r="E6" s="51" t="s">
        <v>86</v>
      </c>
      <c r="F6" s="53" t="s">
        <v>80</v>
      </c>
      <c r="G6" s="53">
        <v>3468</v>
      </c>
    </row>
    <row r="7" spans="1:7">
      <c r="A7" s="53">
        <v>84471036</v>
      </c>
      <c r="B7" s="53">
        <v>32</v>
      </c>
      <c r="C7" s="53" t="s">
        <v>93</v>
      </c>
      <c r="D7" s="53" t="s">
        <v>88</v>
      </c>
      <c r="E7" s="51" t="s">
        <v>81</v>
      </c>
      <c r="F7" s="53" t="s">
        <v>80</v>
      </c>
      <c r="G7" s="53">
        <v>3068</v>
      </c>
    </row>
    <row r="8" spans="1:7">
      <c r="A8" s="53">
        <v>84868246</v>
      </c>
      <c r="B8" s="53">
        <v>59</v>
      </c>
      <c r="C8" s="53" t="s">
        <v>83</v>
      </c>
      <c r="D8" s="53" t="s">
        <v>82</v>
      </c>
      <c r="E8" s="51" t="s">
        <v>90</v>
      </c>
      <c r="F8" s="53" t="s">
        <v>89</v>
      </c>
      <c r="G8" s="53">
        <v>2670</v>
      </c>
    </row>
    <row r="9" spans="1:7">
      <c r="A9" s="53">
        <v>84053632</v>
      </c>
      <c r="B9" s="53">
        <v>30</v>
      </c>
      <c r="C9" s="53" t="s">
        <v>97</v>
      </c>
      <c r="D9" s="53" t="s">
        <v>87</v>
      </c>
      <c r="E9" s="51" t="s">
        <v>81</v>
      </c>
      <c r="F9" s="53" t="s">
        <v>80</v>
      </c>
      <c r="G9" s="53">
        <v>2693</v>
      </c>
    </row>
    <row r="10" spans="1:7">
      <c r="A10" s="53">
        <v>89052571</v>
      </c>
      <c r="B10" s="53">
        <v>38</v>
      </c>
      <c r="C10" s="53" t="s">
        <v>83</v>
      </c>
      <c r="D10" s="53" t="s">
        <v>82</v>
      </c>
      <c r="E10" s="51" t="s">
        <v>81</v>
      </c>
      <c r="F10" s="53" t="s">
        <v>80</v>
      </c>
      <c r="G10" s="53">
        <v>9526</v>
      </c>
    </row>
    <row r="11" spans="1:7">
      <c r="A11" s="53">
        <v>84296989</v>
      </c>
      <c r="B11" s="53">
        <v>36</v>
      </c>
      <c r="C11" s="53" t="s">
        <v>92</v>
      </c>
      <c r="D11" s="53" t="s">
        <v>82</v>
      </c>
      <c r="E11" s="51" t="s">
        <v>81</v>
      </c>
      <c r="F11" s="53" t="s">
        <v>80</v>
      </c>
      <c r="G11" s="53">
        <v>5237</v>
      </c>
    </row>
    <row r="12" spans="1:7">
      <c r="A12" s="53">
        <v>84832042</v>
      </c>
      <c r="B12" s="53">
        <v>35</v>
      </c>
      <c r="C12" s="53" t="s">
        <v>83</v>
      </c>
      <c r="D12" s="53" t="s">
        <v>82</v>
      </c>
      <c r="E12" s="51" t="s">
        <v>81</v>
      </c>
      <c r="F12" s="53" t="s">
        <v>80</v>
      </c>
      <c r="G12" s="53">
        <v>2426</v>
      </c>
    </row>
    <row r="13" spans="1:7">
      <c r="A13" s="53">
        <v>81866141</v>
      </c>
      <c r="B13" s="53">
        <v>29</v>
      </c>
      <c r="C13" s="53" t="s">
        <v>83</v>
      </c>
      <c r="D13" s="53" t="s">
        <v>88</v>
      </c>
      <c r="E13" s="51" t="s">
        <v>86</v>
      </c>
      <c r="F13" s="53" t="s">
        <v>89</v>
      </c>
      <c r="G13" s="53">
        <v>4193</v>
      </c>
    </row>
    <row r="14" spans="1:7">
      <c r="A14" s="53">
        <v>87542300</v>
      </c>
      <c r="B14" s="53">
        <v>31</v>
      </c>
      <c r="C14" s="53" t="s">
        <v>83</v>
      </c>
      <c r="D14" s="53" t="s">
        <v>87</v>
      </c>
      <c r="E14" s="51" t="s">
        <v>81</v>
      </c>
      <c r="F14" s="53" t="s">
        <v>80</v>
      </c>
      <c r="G14" s="53">
        <v>2911</v>
      </c>
    </row>
    <row r="15" spans="1:7">
      <c r="A15" s="53">
        <v>88799456</v>
      </c>
      <c r="B15" s="53">
        <v>34</v>
      </c>
      <c r="C15" s="53" t="s">
        <v>83</v>
      </c>
      <c r="D15" s="53" t="s">
        <v>88</v>
      </c>
      <c r="E15" s="51" t="s">
        <v>81</v>
      </c>
      <c r="F15" s="53" t="s">
        <v>80</v>
      </c>
      <c r="G15" s="53">
        <v>2661</v>
      </c>
    </row>
    <row r="16" spans="1:7">
      <c r="A16" s="53">
        <v>84490915</v>
      </c>
      <c r="B16" s="53">
        <v>28</v>
      </c>
      <c r="C16" s="53" t="s">
        <v>92</v>
      </c>
      <c r="D16" s="53" t="s">
        <v>82</v>
      </c>
      <c r="E16" s="51" t="s">
        <v>86</v>
      </c>
      <c r="F16" s="53" t="s">
        <v>80</v>
      </c>
      <c r="G16" s="53">
        <v>2028</v>
      </c>
    </row>
    <row r="17" spans="1:7">
      <c r="A17" s="53">
        <v>82727521</v>
      </c>
      <c r="B17" s="53">
        <v>29</v>
      </c>
      <c r="C17" s="53" t="s">
        <v>83</v>
      </c>
      <c r="D17" s="53" t="s">
        <v>91</v>
      </c>
      <c r="E17" s="51" t="s">
        <v>86</v>
      </c>
      <c r="F17" s="53" t="s">
        <v>89</v>
      </c>
      <c r="G17" s="53">
        <v>9980</v>
      </c>
    </row>
    <row r="18" spans="1:7">
      <c r="A18" s="53">
        <v>81066659</v>
      </c>
      <c r="B18" s="53">
        <v>32</v>
      </c>
      <c r="C18" s="53" t="s">
        <v>83</v>
      </c>
      <c r="D18" s="53" t="s">
        <v>88</v>
      </c>
      <c r="E18" s="51" t="s">
        <v>81</v>
      </c>
      <c r="F18" s="53" t="s">
        <v>80</v>
      </c>
      <c r="G18" s="53">
        <v>3298</v>
      </c>
    </row>
    <row r="19" spans="1:7">
      <c r="A19" s="53">
        <v>87235618</v>
      </c>
      <c r="B19" s="53">
        <v>22</v>
      </c>
      <c r="C19" s="53" t="s">
        <v>96</v>
      </c>
      <c r="D19" s="53" t="s">
        <v>88</v>
      </c>
      <c r="E19" s="51" t="s">
        <v>86</v>
      </c>
      <c r="F19" s="53" t="s">
        <v>80</v>
      </c>
      <c r="G19" s="53">
        <v>2935</v>
      </c>
    </row>
    <row r="20" spans="1:7">
      <c r="A20" s="53">
        <v>87082420</v>
      </c>
      <c r="B20" s="53">
        <v>53</v>
      </c>
      <c r="C20" s="53" t="s">
        <v>85</v>
      </c>
      <c r="D20" s="53" t="s">
        <v>91</v>
      </c>
      <c r="E20" s="51" t="s">
        <v>90</v>
      </c>
      <c r="F20" s="53" t="s">
        <v>89</v>
      </c>
      <c r="G20" s="53">
        <v>15427</v>
      </c>
    </row>
    <row r="21" spans="1:7">
      <c r="A21" s="53">
        <v>88958397</v>
      </c>
      <c r="B21" s="53">
        <v>38</v>
      </c>
      <c r="C21" s="53" t="s">
        <v>83</v>
      </c>
      <c r="D21" s="53" t="s">
        <v>82</v>
      </c>
      <c r="E21" s="51" t="s">
        <v>81</v>
      </c>
      <c r="F21" s="53" t="s">
        <v>80</v>
      </c>
      <c r="G21" s="53">
        <v>3944</v>
      </c>
    </row>
    <row r="22" spans="1:7">
      <c r="A22" s="53">
        <v>84124668</v>
      </c>
      <c r="B22" s="53">
        <v>24</v>
      </c>
      <c r="C22" s="53" t="s">
        <v>92</v>
      </c>
      <c r="D22" s="53" t="s">
        <v>88</v>
      </c>
      <c r="E22" s="51" t="s">
        <v>86</v>
      </c>
      <c r="F22" s="53" t="s">
        <v>89</v>
      </c>
      <c r="G22" s="53">
        <v>4011</v>
      </c>
    </row>
    <row r="23" spans="1:7">
      <c r="A23" s="53">
        <v>80667057</v>
      </c>
      <c r="B23" s="53">
        <v>36</v>
      </c>
      <c r="C23" s="53" t="s">
        <v>85</v>
      </c>
      <c r="D23" s="53" t="s">
        <v>91</v>
      </c>
      <c r="E23" s="51" t="s">
        <v>81</v>
      </c>
      <c r="F23" s="53" t="s">
        <v>80</v>
      </c>
      <c r="G23" s="53">
        <v>3407</v>
      </c>
    </row>
    <row r="24" spans="1:7">
      <c r="A24" s="53">
        <v>85179519</v>
      </c>
      <c r="B24" s="53">
        <v>34</v>
      </c>
      <c r="C24" s="53" t="s">
        <v>83</v>
      </c>
      <c r="D24" s="53" t="s">
        <v>91</v>
      </c>
      <c r="E24" s="51" t="s">
        <v>81</v>
      </c>
      <c r="F24" s="53" t="s">
        <v>89</v>
      </c>
      <c r="G24" s="53">
        <v>11994</v>
      </c>
    </row>
    <row r="25" spans="1:7">
      <c r="A25" s="53">
        <v>80131180</v>
      </c>
      <c r="B25" s="53">
        <v>21</v>
      </c>
      <c r="C25" s="53" t="s">
        <v>83</v>
      </c>
      <c r="D25" s="53" t="s">
        <v>88</v>
      </c>
      <c r="E25" s="51" t="s">
        <v>86</v>
      </c>
      <c r="F25" s="53" t="s">
        <v>80</v>
      </c>
      <c r="G25" s="53">
        <v>1232</v>
      </c>
    </row>
    <row r="26" spans="1:7">
      <c r="A26" s="53">
        <v>81828136</v>
      </c>
      <c r="B26" s="53">
        <v>34</v>
      </c>
      <c r="C26" s="53" t="s">
        <v>83</v>
      </c>
      <c r="D26" s="53" t="s">
        <v>87</v>
      </c>
      <c r="E26" s="51" t="s">
        <v>81</v>
      </c>
      <c r="F26" s="53" t="s">
        <v>80</v>
      </c>
      <c r="G26" s="53">
        <v>2960</v>
      </c>
    </row>
    <row r="27" spans="1:7">
      <c r="A27" s="53">
        <v>89723974</v>
      </c>
      <c r="B27" s="53">
        <v>53</v>
      </c>
      <c r="C27" s="53" t="s">
        <v>92</v>
      </c>
      <c r="D27" s="53" t="s">
        <v>82</v>
      </c>
      <c r="E27" s="51" t="s">
        <v>90</v>
      </c>
      <c r="F27" s="53" t="s">
        <v>89</v>
      </c>
      <c r="G27" s="53">
        <v>19094</v>
      </c>
    </row>
    <row r="28" spans="1:7">
      <c r="A28" s="53">
        <v>84040768</v>
      </c>
      <c r="B28" s="53">
        <v>32</v>
      </c>
      <c r="C28" s="53" t="s">
        <v>83</v>
      </c>
      <c r="D28" s="53" t="s">
        <v>87</v>
      </c>
      <c r="E28" s="51" t="s">
        <v>81</v>
      </c>
      <c r="F28" s="53" t="s">
        <v>89</v>
      </c>
      <c r="G28" s="53">
        <v>3919</v>
      </c>
    </row>
    <row r="29" spans="1:7">
      <c r="A29" s="53">
        <v>83596628</v>
      </c>
      <c r="B29" s="53">
        <v>42</v>
      </c>
      <c r="C29" s="53" t="s">
        <v>85</v>
      </c>
      <c r="D29" s="53" t="s">
        <v>91</v>
      </c>
      <c r="E29" s="51" t="s">
        <v>84</v>
      </c>
      <c r="F29" s="53" t="s">
        <v>80</v>
      </c>
      <c r="G29" s="53">
        <v>6825</v>
      </c>
    </row>
    <row r="30" spans="1:7">
      <c r="A30" s="53">
        <v>83530757</v>
      </c>
      <c r="B30" s="53">
        <v>44</v>
      </c>
      <c r="C30" s="53" t="s">
        <v>83</v>
      </c>
      <c r="D30" s="53" t="s">
        <v>91</v>
      </c>
      <c r="E30" s="51" t="s">
        <v>84</v>
      </c>
      <c r="F30" s="53" t="s">
        <v>89</v>
      </c>
      <c r="G30" s="53">
        <v>10248</v>
      </c>
    </row>
    <row r="31" spans="1:7">
      <c r="A31" s="53">
        <v>84923682</v>
      </c>
      <c r="B31" s="53">
        <v>46</v>
      </c>
      <c r="C31" s="53" t="s">
        <v>85</v>
      </c>
      <c r="D31" s="53" t="s">
        <v>91</v>
      </c>
      <c r="E31" s="51" t="s">
        <v>84</v>
      </c>
      <c r="F31" s="53" t="s">
        <v>89</v>
      </c>
      <c r="G31" s="53">
        <v>18947</v>
      </c>
    </row>
    <row r="32" spans="1:7">
      <c r="A32" s="53">
        <v>84519747</v>
      </c>
      <c r="B32" s="53">
        <v>33</v>
      </c>
      <c r="C32" s="53" t="s">
        <v>83</v>
      </c>
      <c r="D32" s="53" t="s">
        <v>82</v>
      </c>
      <c r="E32" s="51" t="s">
        <v>81</v>
      </c>
      <c r="F32" s="53" t="s">
        <v>80</v>
      </c>
      <c r="G32" s="53">
        <v>2496</v>
      </c>
    </row>
    <row r="33" spans="1:7">
      <c r="A33" s="53">
        <v>82534034</v>
      </c>
      <c r="B33" s="53">
        <v>44</v>
      </c>
      <c r="C33" s="53" t="s">
        <v>83</v>
      </c>
      <c r="D33" s="53" t="s">
        <v>91</v>
      </c>
      <c r="E33" s="51" t="s">
        <v>84</v>
      </c>
      <c r="F33" s="53" t="s">
        <v>80</v>
      </c>
      <c r="G33" s="53">
        <v>6465</v>
      </c>
    </row>
    <row r="34" spans="1:7">
      <c r="A34" s="53">
        <v>80607774</v>
      </c>
      <c r="B34" s="53">
        <v>30</v>
      </c>
      <c r="C34" s="53" t="s">
        <v>92</v>
      </c>
      <c r="D34" s="53" t="s">
        <v>88</v>
      </c>
      <c r="E34" s="51" t="s">
        <v>81</v>
      </c>
      <c r="F34" s="53" t="s">
        <v>80</v>
      </c>
      <c r="G34" s="53">
        <v>2206</v>
      </c>
    </row>
    <row r="35" spans="1:7">
      <c r="A35" s="53">
        <v>84726831</v>
      </c>
      <c r="B35" s="53">
        <v>39</v>
      </c>
      <c r="C35" s="53" t="s">
        <v>85</v>
      </c>
      <c r="D35" s="53" t="s">
        <v>82</v>
      </c>
      <c r="E35" s="51" t="s">
        <v>81</v>
      </c>
      <c r="F35" s="53" t="s">
        <v>80</v>
      </c>
      <c r="G35" s="53">
        <v>2086</v>
      </c>
    </row>
    <row r="36" spans="1:7">
      <c r="A36" s="53">
        <v>80766533</v>
      </c>
      <c r="B36" s="53">
        <v>24</v>
      </c>
      <c r="C36" s="53" t="s">
        <v>83</v>
      </c>
      <c r="D36" s="53" t="s">
        <v>82</v>
      </c>
      <c r="E36" s="51" t="s">
        <v>86</v>
      </c>
      <c r="F36" s="53" t="s">
        <v>80</v>
      </c>
      <c r="G36" s="53">
        <v>2293</v>
      </c>
    </row>
    <row r="37" spans="1:7">
      <c r="A37" s="53">
        <v>81025807</v>
      </c>
      <c r="B37" s="53">
        <v>43</v>
      </c>
      <c r="C37" s="53" t="s">
        <v>83</v>
      </c>
      <c r="D37" s="53" t="s">
        <v>88</v>
      </c>
      <c r="E37" s="51" t="s">
        <v>84</v>
      </c>
      <c r="F37" s="53" t="s">
        <v>89</v>
      </c>
      <c r="G37" s="53">
        <v>2645</v>
      </c>
    </row>
    <row r="38" spans="1:7">
      <c r="A38" s="53">
        <v>85052382</v>
      </c>
      <c r="B38" s="53">
        <v>50</v>
      </c>
      <c r="C38" s="53" t="s">
        <v>85</v>
      </c>
      <c r="D38" s="53" t="s">
        <v>88</v>
      </c>
      <c r="E38" s="51" t="s">
        <v>90</v>
      </c>
      <c r="F38" s="53" t="s">
        <v>80</v>
      </c>
      <c r="G38" s="53">
        <v>2683</v>
      </c>
    </row>
    <row r="39" spans="1:7">
      <c r="A39" s="53">
        <v>86764639</v>
      </c>
      <c r="B39" s="53">
        <v>35</v>
      </c>
      <c r="C39" s="53" t="s">
        <v>85</v>
      </c>
      <c r="D39" s="53" t="s">
        <v>82</v>
      </c>
      <c r="E39" s="51" t="s">
        <v>81</v>
      </c>
      <c r="F39" s="53" t="s">
        <v>89</v>
      </c>
      <c r="G39" s="53">
        <v>2014</v>
      </c>
    </row>
    <row r="40" spans="1:7">
      <c r="A40" s="53">
        <v>88233548</v>
      </c>
      <c r="B40" s="53">
        <v>36</v>
      </c>
      <c r="C40" s="53" t="s">
        <v>83</v>
      </c>
      <c r="D40" s="53" t="s">
        <v>91</v>
      </c>
      <c r="E40" s="51" t="s">
        <v>81</v>
      </c>
      <c r="F40" s="53" t="s">
        <v>89</v>
      </c>
      <c r="G40" s="53">
        <v>3419</v>
      </c>
    </row>
    <row r="41" spans="1:7">
      <c r="A41" s="53">
        <v>87736479</v>
      </c>
      <c r="B41" s="53">
        <v>33</v>
      </c>
      <c r="C41" s="53" t="s">
        <v>85</v>
      </c>
      <c r="D41" s="53" t="s">
        <v>82</v>
      </c>
      <c r="E41" s="51" t="s">
        <v>81</v>
      </c>
      <c r="F41" s="53" t="s">
        <v>89</v>
      </c>
      <c r="G41" s="53">
        <v>5376</v>
      </c>
    </row>
    <row r="42" spans="1:7">
      <c r="A42" s="53">
        <v>88830045</v>
      </c>
      <c r="B42" s="53">
        <v>35</v>
      </c>
      <c r="C42" s="53" t="s">
        <v>83</v>
      </c>
      <c r="D42" s="53" t="s">
        <v>88</v>
      </c>
      <c r="E42" s="51" t="s">
        <v>81</v>
      </c>
      <c r="F42" s="53" t="s">
        <v>80</v>
      </c>
      <c r="G42" s="53">
        <v>1951</v>
      </c>
    </row>
    <row r="43" spans="1:7">
      <c r="A43" s="53">
        <v>83114268</v>
      </c>
      <c r="B43" s="53">
        <v>27</v>
      </c>
      <c r="C43" s="53" t="s">
        <v>92</v>
      </c>
      <c r="D43" s="53" t="s">
        <v>91</v>
      </c>
      <c r="E43" s="51" t="s">
        <v>86</v>
      </c>
      <c r="F43" s="53" t="s">
        <v>89</v>
      </c>
      <c r="G43" s="53">
        <v>2341</v>
      </c>
    </row>
    <row r="44" spans="1:7">
      <c r="A44" s="53">
        <v>88078127</v>
      </c>
      <c r="B44" s="53">
        <v>26</v>
      </c>
      <c r="C44" s="53" t="s">
        <v>83</v>
      </c>
      <c r="D44" s="53" t="s">
        <v>82</v>
      </c>
      <c r="E44" s="51" t="s">
        <v>86</v>
      </c>
      <c r="F44" s="53" t="s">
        <v>80</v>
      </c>
      <c r="G44" s="53">
        <v>2293</v>
      </c>
    </row>
    <row r="45" spans="1:7">
      <c r="A45" s="53">
        <v>82065242</v>
      </c>
      <c r="B45" s="53">
        <v>27</v>
      </c>
      <c r="C45" s="53" t="s">
        <v>85</v>
      </c>
      <c r="D45" s="53" t="s">
        <v>82</v>
      </c>
      <c r="E45" s="51" t="s">
        <v>86</v>
      </c>
      <c r="F45" s="53" t="s">
        <v>80</v>
      </c>
      <c r="G45" s="53">
        <v>8726</v>
      </c>
    </row>
    <row r="46" spans="1:7">
      <c r="A46" s="53">
        <v>88374215</v>
      </c>
      <c r="B46" s="53">
        <v>30</v>
      </c>
      <c r="C46" s="53" t="s">
        <v>83</v>
      </c>
      <c r="D46" s="53" t="s">
        <v>88</v>
      </c>
      <c r="E46" s="51" t="s">
        <v>81</v>
      </c>
      <c r="F46" s="53" t="s">
        <v>89</v>
      </c>
      <c r="G46" s="53">
        <v>4011</v>
      </c>
    </row>
    <row r="47" spans="1:7">
      <c r="A47" s="53">
        <v>83777248</v>
      </c>
      <c r="B47" s="53">
        <v>41</v>
      </c>
      <c r="C47" s="53" t="s">
        <v>83</v>
      </c>
      <c r="D47" s="53" t="s">
        <v>82</v>
      </c>
      <c r="E47" s="51" t="s">
        <v>84</v>
      </c>
      <c r="F47" s="53" t="s">
        <v>89</v>
      </c>
      <c r="G47" s="53">
        <v>19545</v>
      </c>
    </row>
    <row r="48" spans="1:7">
      <c r="A48" s="53">
        <v>84932792</v>
      </c>
      <c r="B48" s="53">
        <v>34</v>
      </c>
      <c r="C48" s="53" t="s">
        <v>85</v>
      </c>
      <c r="D48" s="53" t="s">
        <v>91</v>
      </c>
      <c r="E48" s="51" t="s">
        <v>81</v>
      </c>
      <c r="F48" s="53" t="s">
        <v>80</v>
      </c>
      <c r="G48" s="53">
        <v>4568</v>
      </c>
    </row>
    <row r="49" spans="1:7">
      <c r="A49" s="53">
        <v>87390403</v>
      </c>
      <c r="B49" s="53">
        <v>37</v>
      </c>
      <c r="C49" s="53" t="s">
        <v>83</v>
      </c>
      <c r="D49" s="53" t="s">
        <v>88</v>
      </c>
      <c r="E49" s="51" t="s">
        <v>81</v>
      </c>
      <c r="F49" s="53" t="s">
        <v>80</v>
      </c>
      <c r="G49" s="53">
        <v>3022</v>
      </c>
    </row>
    <row r="50" spans="1:7">
      <c r="A50" s="53">
        <v>89549570</v>
      </c>
      <c r="B50" s="53">
        <v>46</v>
      </c>
      <c r="C50" s="53" t="s">
        <v>85</v>
      </c>
      <c r="D50" s="53" t="s">
        <v>91</v>
      </c>
      <c r="E50" s="51" t="s">
        <v>84</v>
      </c>
      <c r="F50" s="53" t="s">
        <v>80</v>
      </c>
      <c r="G50" s="53">
        <v>5772</v>
      </c>
    </row>
    <row r="51" spans="1:7">
      <c r="A51" s="53">
        <v>85357065</v>
      </c>
      <c r="B51" s="53">
        <v>35</v>
      </c>
      <c r="C51" s="53" t="s">
        <v>92</v>
      </c>
      <c r="D51" s="53" t="s">
        <v>87</v>
      </c>
      <c r="E51" s="51" t="s">
        <v>81</v>
      </c>
      <c r="F51" s="53" t="s">
        <v>80</v>
      </c>
      <c r="G51" s="53">
        <v>2269</v>
      </c>
    </row>
    <row r="52" spans="1:7">
      <c r="A52" s="53">
        <v>80962576</v>
      </c>
      <c r="B52" s="53">
        <v>48</v>
      </c>
      <c r="C52" s="53" t="s">
        <v>83</v>
      </c>
      <c r="D52" s="53" t="s">
        <v>88</v>
      </c>
      <c r="E52" s="51" t="s">
        <v>84</v>
      </c>
      <c r="F52" s="53" t="s">
        <v>80</v>
      </c>
      <c r="G52" s="53">
        <v>5381</v>
      </c>
    </row>
    <row r="53" spans="1:7">
      <c r="A53" s="53">
        <v>83620657</v>
      </c>
      <c r="B53" s="53">
        <v>28</v>
      </c>
      <c r="C53" s="53" t="s">
        <v>83</v>
      </c>
      <c r="D53" s="53" t="s">
        <v>91</v>
      </c>
      <c r="E53" s="51" t="s">
        <v>86</v>
      </c>
      <c r="F53" s="53" t="s">
        <v>80</v>
      </c>
      <c r="G53" s="53">
        <v>3441</v>
      </c>
    </row>
    <row r="54" spans="1:7">
      <c r="A54" s="53">
        <v>80416147</v>
      </c>
      <c r="B54" s="53">
        <v>44</v>
      </c>
      <c r="C54" s="53" t="s">
        <v>85</v>
      </c>
      <c r="D54" s="53" t="s">
        <v>94</v>
      </c>
      <c r="E54" s="51" t="s">
        <v>84</v>
      </c>
      <c r="F54" s="53" t="s">
        <v>89</v>
      </c>
      <c r="G54" s="53">
        <v>5454</v>
      </c>
    </row>
    <row r="55" spans="1:7">
      <c r="A55" s="53">
        <v>83033244</v>
      </c>
      <c r="B55" s="53">
        <v>35</v>
      </c>
      <c r="C55" s="53" t="s">
        <v>92</v>
      </c>
      <c r="D55" s="53" t="s">
        <v>88</v>
      </c>
      <c r="E55" s="51" t="s">
        <v>81</v>
      </c>
      <c r="F55" s="53" t="s">
        <v>80</v>
      </c>
      <c r="G55" s="53">
        <v>9884</v>
      </c>
    </row>
    <row r="56" spans="1:7">
      <c r="A56" s="53">
        <v>85217552</v>
      </c>
      <c r="B56" s="53">
        <v>26</v>
      </c>
      <c r="C56" s="53" t="s">
        <v>85</v>
      </c>
      <c r="D56" s="53" t="s">
        <v>82</v>
      </c>
      <c r="E56" s="51" t="s">
        <v>86</v>
      </c>
      <c r="F56" s="53" t="s">
        <v>89</v>
      </c>
      <c r="G56" s="53">
        <v>4157</v>
      </c>
    </row>
    <row r="57" spans="1:7">
      <c r="A57" s="53">
        <v>88380665</v>
      </c>
      <c r="B57" s="53">
        <v>33</v>
      </c>
      <c r="C57" s="53" t="s">
        <v>83</v>
      </c>
      <c r="D57" s="53" t="s">
        <v>88</v>
      </c>
      <c r="E57" s="51" t="s">
        <v>81</v>
      </c>
      <c r="F57" s="53" t="s">
        <v>89</v>
      </c>
      <c r="G57" s="53">
        <v>13458</v>
      </c>
    </row>
    <row r="58" spans="1:7">
      <c r="A58" s="53">
        <v>82323228</v>
      </c>
      <c r="B58" s="53">
        <v>35</v>
      </c>
      <c r="C58" s="53" t="s">
        <v>85</v>
      </c>
      <c r="D58" s="53" t="s">
        <v>94</v>
      </c>
      <c r="E58" s="51" t="s">
        <v>81</v>
      </c>
      <c r="F58" s="53" t="s">
        <v>80</v>
      </c>
      <c r="G58" s="53">
        <v>9069</v>
      </c>
    </row>
    <row r="59" spans="1:7">
      <c r="A59" s="53">
        <v>88595790</v>
      </c>
      <c r="B59" s="53">
        <v>35</v>
      </c>
      <c r="C59" s="53" t="s">
        <v>83</v>
      </c>
      <c r="D59" s="53" t="s">
        <v>91</v>
      </c>
      <c r="E59" s="51" t="s">
        <v>81</v>
      </c>
      <c r="F59" s="53" t="s">
        <v>89</v>
      </c>
      <c r="G59" s="53">
        <v>4014</v>
      </c>
    </row>
    <row r="60" spans="1:7">
      <c r="A60" s="53">
        <v>80212091</v>
      </c>
      <c r="B60" s="53">
        <v>31</v>
      </c>
      <c r="C60" s="53" t="s">
        <v>83</v>
      </c>
      <c r="D60" s="53" t="s">
        <v>91</v>
      </c>
      <c r="E60" s="51" t="s">
        <v>81</v>
      </c>
      <c r="F60" s="53" t="s">
        <v>80</v>
      </c>
      <c r="G60" s="53">
        <v>5915</v>
      </c>
    </row>
    <row r="61" spans="1:7">
      <c r="A61" s="53">
        <v>84261453</v>
      </c>
      <c r="B61" s="53">
        <v>37</v>
      </c>
      <c r="C61" s="53" t="s">
        <v>83</v>
      </c>
      <c r="D61" s="53" t="s">
        <v>91</v>
      </c>
      <c r="E61" s="51" t="s">
        <v>81</v>
      </c>
      <c r="F61" s="53" t="s">
        <v>80</v>
      </c>
      <c r="G61" s="53">
        <v>5993</v>
      </c>
    </row>
    <row r="62" spans="1:7">
      <c r="A62" s="53">
        <v>85078938</v>
      </c>
      <c r="B62" s="53">
        <v>32</v>
      </c>
      <c r="C62" s="53" t="s">
        <v>92</v>
      </c>
      <c r="D62" s="53" t="s">
        <v>82</v>
      </c>
      <c r="E62" s="51" t="s">
        <v>81</v>
      </c>
      <c r="F62" s="53" t="s">
        <v>80</v>
      </c>
      <c r="G62" s="53">
        <v>6162</v>
      </c>
    </row>
    <row r="63" spans="1:7">
      <c r="A63" s="53">
        <v>80105824</v>
      </c>
      <c r="B63" s="53">
        <v>38</v>
      </c>
      <c r="C63" s="53" t="s">
        <v>83</v>
      </c>
      <c r="D63" s="53" t="s">
        <v>94</v>
      </c>
      <c r="E63" s="51" t="s">
        <v>81</v>
      </c>
      <c r="F63" s="53" t="s">
        <v>89</v>
      </c>
      <c r="G63" s="53">
        <v>2406</v>
      </c>
    </row>
    <row r="64" spans="1:7">
      <c r="A64" s="53">
        <v>83819847</v>
      </c>
      <c r="B64" s="53">
        <v>50</v>
      </c>
      <c r="C64" s="53" t="s">
        <v>83</v>
      </c>
      <c r="D64" s="53" t="s">
        <v>88</v>
      </c>
      <c r="E64" s="51" t="s">
        <v>90</v>
      </c>
      <c r="F64" s="53" t="s">
        <v>89</v>
      </c>
      <c r="G64" s="53">
        <v>18740</v>
      </c>
    </row>
    <row r="65" spans="1:7">
      <c r="A65" s="53">
        <v>86866387</v>
      </c>
      <c r="B65" s="53">
        <v>59</v>
      </c>
      <c r="C65" s="53" t="s">
        <v>85</v>
      </c>
      <c r="D65" s="53" t="s">
        <v>82</v>
      </c>
      <c r="E65" s="51" t="s">
        <v>90</v>
      </c>
      <c r="F65" s="53" t="s">
        <v>89</v>
      </c>
      <c r="G65" s="53">
        <v>7637</v>
      </c>
    </row>
    <row r="66" spans="1:7">
      <c r="A66" s="53">
        <v>87175627</v>
      </c>
      <c r="B66" s="53">
        <v>36</v>
      </c>
      <c r="C66" s="53" t="s">
        <v>96</v>
      </c>
      <c r="D66" s="53" t="s">
        <v>82</v>
      </c>
      <c r="E66" s="51" t="s">
        <v>81</v>
      </c>
      <c r="F66" s="53" t="s">
        <v>89</v>
      </c>
      <c r="G66" s="53">
        <v>10096</v>
      </c>
    </row>
    <row r="67" spans="1:7">
      <c r="A67" s="53">
        <v>80875746</v>
      </c>
      <c r="B67" s="53">
        <v>55</v>
      </c>
      <c r="C67" s="53" t="s">
        <v>83</v>
      </c>
      <c r="D67" s="53" t="s">
        <v>82</v>
      </c>
      <c r="E67" s="51" t="s">
        <v>90</v>
      </c>
      <c r="F67" s="53" t="s">
        <v>89</v>
      </c>
      <c r="G67" s="53">
        <v>14756</v>
      </c>
    </row>
    <row r="68" spans="1:7">
      <c r="A68" s="53">
        <v>86312256</v>
      </c>
      <c r="B68" s="53">
        <v>36</v>
      </c>
      <c r="C68" s="53" t="s">
        <v>83</v>
      </c>
      <c r="D68" s="53" t="s">
        <v>82</v>
      </c>
      <c r="E68" s="51" t="s">
        <v>81</v>
      </c>
      <c r="F68" s="53" t="s">
        <v>80</v>
      </c>
      <c r="G68" s="53">
        <v>6499</v>
      </c>
    </row>
    <row r="69" spans="1:7">
      <c r="A69" s="53">
        <v>81507334</v>
      </c>
      <c r="B69" s="53">
        <v>45</v>
      </c>
      <c r="C69" s="53" t="s">
        <v>83</v>
      </c>
      <c r="D69" s="53" t="s">
        <v>82</v>
      </c>
      <c r="E69" s="51" t="s">
        <v>84</v>
      </c>
      <c r="F69" s="53" t="s">
        <v>80</v>
      </c>
      <c r="G69" s="53">
        <v>9724</v>
      </c>
    </row>
    <row r="70" spans="1:7">
      <c r="A70" s="53">
        <v>85379617</v>
      </c>
      <c r="B70" s="53">
        <v>35</v>
      </c>
      <c r="C70" s="53" t="s">
        <v>92</v>
      </c>
      <c r="D70" s="53" t="s">
        <v>82</v>
      </c>
      <c r="E70" s="51" t="s">
        <v>81</v>
      </c>
      <c r="F70" s="53" t="s">
        <v>80</v>
      </c>
      <c r="G70" s="53">
        <v>2194</v>
      </c>
    </row>
    <row r="71" spans="1:7">
      <c r="A71" s="53">
        <v>87449587</v>
      </c>
      <c r="B71" s="53">
        <v>36</v>
      </c>
      <c r="C71" s="53" t="s">
        <v>83</v>
      </c>
      <c r="D71" s="53" t="s">
        <v>82</v>
      </c>
      <c r="E71" s="51" t="s">
        <v>81</v>
      </c>
      <c r="F71" s="53" t="s">
        <v>80</v>
      </c>
      <c r="G71" s="53">
        <v>3388</v>
      </c>
    </row>
    <row r="72" spans="1:7">
      <c r="A72" s="53">
        <v>82712898</v>
      </c>
      <c r="B72" s="53">
        <v>59</v>
      </c>
      <c r="C72" s="53" t="s">
        <v>85</v>
      </c>
      <c r="D72" s="53" t="s">
        <v>87</v>
      </c>
      <c r="E72" s="51" t="s">
        <v>90</v>
      </c>
      <c r="F72" s="53" t="s">
        <v>89</v>
      </c>
      <c r="G72" s="53">
        <v>5473</v>
      </c>
    </row>
    <row r="73" spans="1:7">
      <c r="A73" s="53">
        <v>81466321</v>
      </c>
      <c r="B73" s="53">
        <v>29</v>
      </c>
      <c r="C73" s="53" t="s">
        <v>83</v>
      </c>
      <c r="D73" s="53" t="s">
        <v>82</v>
      </c>
      <c r="E73" s="51" t="s">
        <v>86</v>
      </c>
      <c r="F73" s="53" t="s">
        <v>80</v>
      </c>
      <c r="G73" s="53">
        <v>2703</v>
      </c>
    </row>
    <row r="74" spans="1:7">
      <c r="A74" s="53">
        <v>81261417</v>
      </c>
      <c r="B74" s="53">
        <v>31</v>
      </c>
      <c r="C74" s="53" t="s">
        <v>92</v>
      </c>
      <c r="D74" s="53" t="s">
        <v>91</v>
      </c>
      <c r="E74" s="51" t="s">
        <v>81</v>
      </c>
      <c r="F74" s="53" t="s">
        <v>80</v>
      </c>
      <c r="G74" s="53">
        <v>2501</v>
      </c>
    </row>
    <row r="75" spans="1:7">
      <c r="A75" s="53">
        <v>81334244</v>
      </c>
      <c r="B75" s="53">
        <v>32</v>
      </c>
      <c r="C75" s="53" t="s">
        <v>83</v>
      </c>
      <c r="D75" s="53" t="s">
        <v>82</v>
      </c>
      <c r="E75" s="51" t="s">
        <v>81</v>
      </c>
      <c r="F75" s="53" t="s">
        <v>80</v>
      </c>
      <c r="G75" s="53">
        <v>6220</v>
      </c>
    </row>
    <row r="76" spans="1:7">
      <c r="A76" s="53">
        <v>82810994</v>
      </c>
      <c r="B76" s="53">
        <v>36</v>
      </c>
      <c r="C76" s="53" t="s">
        <v>83</v>
      </c>
      <c r="D76" s="53" t="s">
        <v>82</v>
      </c>
      <c r="E76" s="51" t="s">
        <v>81</v>
      </c>
      <c r="F76" s="53" t="s">
        <v>89</v>
      </c>
      <c r="G76" s="53">
        <v>3038</v>
      </c>
    </row>
    <row r="77" spans="1:7">
      <c r="A77" s="53">
        <v>86029279</v>
      </c>
      <c r="B77" s="53">
        <v>31</v>
      </c>
      <c r="C77" s="53" t="s">
        <v>83</v>
      </c>
      <c r="D77" s="53" t="s">
        <v>91</v>
      </c>
      <c r="E77" s="51" t="s">
        <v>81</v>
      </c>
      <c r="F77" s="53" t="s">
        <v>89</v>
      </c>
      <c r="G77" s="53">
        <v>4424</v>
      </c>
    </row>
    <row r="78" spans="1:7">
      <c r="A78" s="53">
        <v>88208712</v>
      </c>
      <c r="B78" s="53">
        <v>35</v>
      </c>
      <c r="C78" s="53" t="s">
        <v>85</v>
      </c>
      <c r="D78" s="53" t="s">
        <v>91</v>
      </c>
      <c r="E78" s="51" t="s">
        <v>81</v>
      </c>
      <c r="F78" s="53" t="s">
        <v>80</v>
      </c>
      <c r="G78" s="53">
        <v>4312</v>
      </c>
    </row>
    <row r="79" spans="1:7">
      <c r="A79" s="53">
        <v>87536908</v>
      </c>
      <c r="B79" s="53">
        <v>45</v>
      </c>
      <c r="C79" s="53" t="s">
        <v>83</v>
      </c>
      <c r="D79" s="53" t="s">
        <v>91</v>
      </c>
      <c r="E79" s="51" t="s">
        <v>84</v>
      </c>
      <c r="F79" s="53" t="s">
        <v>80</v>
      </c>
      <c r="G79" s="53">
        <v>13245</v>
      </c>
    </row>
    <row r="80" spans="1:7">
      <c r="A80" s="53">
        <v>87838067</v>
      </c>
      <c r="B80" s="53">
        <v>37</v>
      </c>
      <c r="C80" s="53" t="s">
        <v>83</v>
      </c>
      <c r="D80" s="53" t="s">
        <v>91</v>
      </c>
      <c r="E80" s="51" t="s">
        <v>81</v>
      </c>
      <c r="F80" s="53" t="s">
        <v>80</v>
      </c>
      <c r="G80" s="53">
        <v>13664</v>
      </c>
    </row>
    <row r="81" spans="1:7">
      <c r="A81" s="53">
        <v>86956105</v>
      </c>
      <c r="B81" s="53">
        <v>46</v>
      </c>
      <c r="C81" s="53" t="s">
        <v>93</v>
      </c>
      <c r="D81" s="53" t="s">
        <v>88</v>
      </c>
      <c r="E81" s="51" t="s">
        <v>84</v>
      </c>
      <c r="F81" s="53" t="s">
        <v>80</v>
      </c>
      <c r="G81" s="53">
        <v>5021</v>
      </c>
    </row>
    <row r="82" spans="1:7">
      <c r="A82" s="53">
        <v>83239615</v>
      </c>
      <c r="B82" s="53">
        <v>30</v>
      </c>
      <c r="C82" s="53" t="s">
        <v>83</v>
      </c>
      <c r="D82" s="53" t="s">
        <v>87</v>
      </c>
      <c r="E82" s="51" t="s">
        <v>81</v>
      </c>
      <c r="F82" s="53" t="s">
        <v>80</v>
      </c>
      <c r="G82" s="53">
        <v>5126</v>
      </c>
    </row>
    <row r="83" spans="1:7">
      <c r="A83" s="53">
        <v>87064944</v>
      </c>
      <c r="B83" s="53">
        <v>35</v>
      </c>
      <c r="C83" s="53" t="s">
        <v>83</v>
      </c>
      <c r="D83" s="53" t="s">
        <v>82</v>
      </c>
      <c r="E83" s="51" t="s">
        <v>81</v>
      </c>
      <c r="F83" s="53" t="s">
        <v>80</v>
      </c>
      <c r="G83" s="53">
        <v>2859</v>
      </c>
    </row>
    <row r="84" spans="1:7">
      <c r="A84" s="53">
        <v>89583829</v>
      </c>
      <c r="B84" s="53">
        <v>55</v>
      </c>
      <c r="C84" s="53" t="s">
        <v>85</v>
      </c>
      <c r="D84" s="53" t="s">
        <v>88</v>
      </c>
      <c r="E84" s="51" t="s">
        <v>90</v>
      </c>
      <c r="F84" s="53" t="s">
        <v>80</v>
      </c>
      <c r="G84" s="53">
        <v>10239</v>
      </c>
    </row>
    <row r="85" spans="1:7">
      <c r="A85" s="53">
        <v>87431495</v>
      </c>
      <c r="B85" s="53">
        <v>38</v>
      </c>
      <c r="C85" s="53" t="s">
        <v>83</v>
      </c>
      <c r="D85" s="53" t="s">
        <v>82</v>
      </c>
      <c r="E85" s="51" t="s">
        <v>81</v>
      </c>
      <c r="F85" s="53" t="s">
        <v>89</v>
      </c>
      <c r="G85" s="53">
        <v>5329</v>
      </c>
    </row>
    <row r="86" spans="1:7">
      <c r="A86" s="53">
        <v>85581910</v>
      </c>
      <c r="B86" s="53">
        <v>34</v>
      </c>
      <c r="C86" s="53" t="s">
        <v>92</v>
      </c>
      <c r="D86" s="53" t="s">
        <v>88</v>
      </c>
      <c r="E86" s="51" t="s">
        <v>81</v>
      </c>
      <c r="F86" s="53" t="s">
        <v>80</v>
      </c>
      <c r="G86" s="53">
        <v>4325</v>
      </c>
    </row>
    <row r="87" spans="1:7">
      <c r="A87" s="53">
        <v>80827834</v>
      </c>
      <c r="B87" s="53">
        <v>56</v>
      </c>
      <c r="C87" s="53" t="s">
        <v>83</v>
      </c>
      <c r="D87" s="53" t="s">
        <v>82</v>
      </c>
      <c r="E87" s="51" t="s">
        <v>90</v>
      </c>
      <c r="F87" s="53" t="s">
        <v>80</v>
      </c>
      <c r="G87" s="53">
        <v>7260</v>
      </c>
    </row>
    <row r="88" spans="1:7">
      <c r="A88" s="53">
        <v>83336221</v>
      </c>
      <c r="B88" s="53">
        <v>23</v>
      </c>
      <c r="C88" s="53" t="s">
        <v>85</v>
      </c>
      <c r="D88" s="53" t="s">
        <v>87</v>
      </c>
      <c r="E88" s="51" t="s">
        <v>86</v>
      </c>
      <c r="F88" s="53" t="s">
        <v>80</v>
      </c>
      <c r="G88" s="53">
        <v>2322</v>
      </c>
    </row>
    <row r="89" spans="1:7">
      <c r="A89" s="53">
        <v>86728137</v>
      </c>
      <c r="B89" s="53">
        <v>51</v>
      </c>
      <c r="C89" s="53" t="s">
        <v>83</v>
      </c>
      <c r="D89" s="53" t="s">
        <v>91</v>
      </c>
      <c r="E89" s="51" t="s">
        <v>90</v>
      </c>
      <c r="F89" s="53" t="s">
        <v>80</v>
      </c>
      <c r="G89" s="53">
        <v>2075</v>
      </c>
    </row>
    <row r="90" spans="1:7">
      <c r="A90" s="53">
        <v>87997088</v>
      </c>
      <c r="B90" s="53">
        <v>30</v>
      </c>
      <c r="C90" s="53" t="s">
        <v>83</v>
      </c>
      <c r="D90" s="53" t="s">
        <v>82</v>
      </c>
      <c r="E90" s="51" t="s">
        <v>81</v>
      </c>
      <c r="F90" s="53" t="s">
        <v>80</v>
      </c>
      <c r="G90" s="53">
        <v>4152</v>
      </c>
    </row>
    <row r="91" spans="1:7">
      <c r="A91" s="53">
        <v>86365591</v>
      </c>
      <c r="B91" s="53">
        <v>46</v>
      </c>
      <c r="C91" s="53" t="s">
        <v>85</v>
      </c>
      <c r="D91" s="53" t="s">
        <v>88</v>
      </c>
      <c r="E91" s="51" t="s">
        <v>84</v>
      </c>
      <c r="F91" s="53" t="s">
        <v>80</v>
      </c>
      <c r="G91" s="53">
        <v>9619</v>
      </c>
    </row>
    <row r="92" spans="1:7">
      <c r="A92" s="53">
        <v>82082349</v>
      </c>
      <c r="B92" s="53">
        <v>40</v>
      </c>
      <c r="C92" s="53" t="s">
        <v>83</v>
      </c>
      <c r="D92" s="53" t="s">
        <v>91</v>
      </c>
      <c r="E92" s="51" t="s">
        <v>84</v>
      </c>
      <c r="F92" s="53" t="s">
        <v>80</v>
      </c>
      <c r="G92" s="53">
        <v>13503</v>
      </c>
    </row>
    <row r="93" spans="1:7">
      <c r="A93" s="53">
        <v>87920240</v>
      </c>
      <c r="B93" s="53">
        <v>51</v>
      </c>
      <c r="C93" s="53" t="s">
        <v>85</v>
      </c>
      <c r="D93" s="53" t="s">
        <v>91</v>
      </c>
      <c r="E93" s="51" t="s">
        <v>90</v>
      </c>
      <c r="F93" s="53" t="s">
        <v>80</v>
      </c>
      <c r="G93" s="53">
        <v>5441</v>
      </c>
    </row>
    <row r="94" spans="1:7">
      <c r="A94" s="53">
        <v>87070589</v>
      </c>
      <c r="B94" s="53">
        <v>30</v>
      </c>
      <c r="C94" s="53" t="s">
        <v>85</v>
      </c>
      <c r="D94" s="53" t="s">
        <v>88</v>
      </c>
      <c r="E94" s="51" t="s">
        <v>81</v>
      </c>
      <c r="F94" s="53" t="s">
        <v>89</v>
      </c>
      <c r="G94" s="53">
        <v>5209</v>
      </c>
    </row>
    <row r="95" spans="1:7">
      <c r="A95" s="53">
        <v>80542836</v>
      </c>
      <c r="B95" s="53">
        <v>46</v>
      </c>
      <c r="C95" s="53" t="s">
        <v>83</v>
      </c>
      <c r="D95" s="53" t="s">
        <v>82</v>
      </c>
      <c r="E95" s="51" t="s">
        <v>84</v>
      </c>
      <c r="F95" s="53" t="s">
        <v>80</v>
      </c>
      <c r="G95" s="53">
        <v>10673</v>
      </c>
    </row>
    <row r="96" spans="1:7">
      <c r="A96" s="53">
        <v>80930301</v>
      </c>
      <c r="B96" s="53">
        <v>32</v>
      </c>
      <c r="C96" s="53" t="s">
        <v>85</v>
      </c>
      <c r="D96" s="53" t="s">
        <v>91</v>
      </c>
      <c r="E96" s="51" t="s">
        <v>81</v>
      </c>
      <c r="F96" s="53" t="s">
        <v>80</v>
      </c>
      <c r="G96" s="53">
        <v>5010</v>
      </c>
    </row>
    <row r="97" spans="1:7">
      <c r="A97" s="53">
        <v>83833607</v>
      </c>
      <c r="B97" s="53">
        <v>54</v>
      </c>
      <c r="C97" s="53" t="s">
        <v>83</v>
      </c>
      <c r="D97" s="53" t="s">
        <v>91</v>
      </c>
      <c r="E97" s="51" t="s">
        <v>90</v>
      </c>
      <c r="F97" s="53" t="s">
        <v>89</v>
      </c>
      <c r="G97" s="53">
        <v>13549</v>
      </c>
    </row>
    <row r="98" spans="1:7">
      <c r="A98" s="53">
        <v>87085993</v>
      </c>
      <c r="B98" s="53">
        <v>24</v>
      </c>
      <c r="C98" s="53" t="s">
        <v>85</v>
      </c>
      <c r="D98" s="53" t="s">
        <v>88</v>
      </c>
      <c r="E98" s="51" t="s">
        <v>86</v>
      </c>
      <c r="F98" s="53" t="s">
        <v>89</v>
      </c>
      <c r="G98" s="53">
        <v>4999</v>
      </c>
    </row>
    <row r="99" spans="1:7">
      <c r="A99" s="53">
        <v>85970887</v>
      </c>
      <c r="B99" s="53">
        <v>28</v>
      </c>
      <c r="C99" s="53" t="s">
        <v>85</v>
      </c>
      <c r="D99" s="53" t="s">
        <v>82</v>
      </c>
      <c r="E99" s="51" t="s">
        <v>86</v>
      </c>
      <c r="F99" s="53" t="s">
        <v>80</v>
      </c>
      <c r="G99" s="53">
        <v>4221</v>
      </c>
    </row>
    <row r="100" spans="1:7">
      <c r="A100" s="53">
        <v>80205107</v>
      </c>
      <c r="B100" s="53">
        <v>58</v>
      </c>
      <c r="C100" s="53" t="s">
        <v>85</v>
      </c>
      <c r="D100" s="53" t="s">
        <v>91</v>
      </c>
      <c r="E100" s="51" t="s">
        <v>90</v>
      </c>
      <c r="F100" s="53" t="s">
        <v>80</v>
      </c>
      <c r="G100" s="53">
        <v>13872</v>
      </c>
    </row>
    <row r="101" spans="1:7">
      <c r="A101" s="53">
        <v>89004169</v>
      </c>
      <c r="B101" s="53">
        <v>44</v>
      </c>
      <c r="C101" s="53" t="s">
        <v>83</v>
      </c>
      <c r="D101" s="53" t="s">
        <v>82</v>
      </c>
      <c r="E101" s="51" t="s">
        <v>84</v>
      </c>
      <c r="F101" s="53" t="s">
        <v>80</v>
      </c>
      <c r="G101" s="53">
        <v>2042</v>
      </c>
    </row>
    <row r="102" spans="1:7">
      <c r="A102" s="53">
        <v>80090512</v>
      </c>
      <c r="B102" s="53">
        <v>37</v>
      </c>
      <c r="C102" s="53" t="s">
        <v>93</v>
      </c>
      <c r="D102" s="53" t="s">
        <v>91</v>
      </c>
      <c r="E102" s="51" t="s">
        <v>81</v>
      </c>
      <c r="F102" s="53" t="s">
        <v>80</v>
      </c>
      <c r="G102" s="53">
        <v>2073</v>
      </c>
    </row>
    <row r="103" spans="1:7">
      <c r="A103" s="53">
        <v>80575217</v>
      </c>
      <c r="B103" s="53">
        <v>32</v>
      </c>
      <c r="C103" s="53" t="s">
        <v>83</v>
      </c>
      <c r="D103" s="53" t="s">
        <v>87</v>
      </c>
      <c r="E103" s="51" t="s">
        <v>81</v>
      </c>
      <c r="F103" s="53" t="s">
        <v>80</v>
      </c>
      <c r="G103" s="53">
        <v>2956</v>
      </c>
    </row>
    <row r="104" spans="1:7">
      <c r="A104" s="53">
        <v>81053982</v>
      </c>
      <c r="B104" s="53">
        <v>20</v>
      </c>
      <c r="C104" s="53" t="s">
        <v>83</v>
      </c>
      <c r="D104" s="53" t="s">
        <v>82</v>
      </c>
      <c r="E104" s="51" t="s">
        <v>86</v>
      </c>
      <c r="F104" s="53" t="s">
        <v>89</v>
      </c>
      <c r="G104" s="53">
        <v>2926</v>
      </c>
    </row>
    <row r="105" spans="1:7">
      <c r="A105" s="53">
        <v>85019841</v>
      </c>
      <c r="B105" s="53">
        <v>34</v>
      </c>
      <c r="C105" s="53" t="s">
        <v>83</v>
      </c>
      <c r="D105" s="53" t="s">
        <v>91</v>
      </c>
      <c r="E105" s="51" t="s">
        <v>81</v>
      </c>
      <c r="F105" s="53" t="s">
        <v>89</v>
      </c>
      <c r="G105" s="53">
        <v>4809</v>
      </c>
    </row>
    <row r="106" spans="1:7">
      <c r="A106" s="53">
        <v>81093559</v>
      </c>
      <c r="B106" s="53">
        <v>37</v>
      </c>
      <c r="C106" s="53" t="s">
        <v>83</v>
      </c>
      <c r="D106" s="53" t="s">
        <v>88</v>
      </c>
      <c r="E106" s="51" t="s">
        <v>81</v>
      </c>
      <c r="F106" s="53" t="s">
        <v>80</v>
      </c>
      <c r="G106" s="53">
        <v>5163</v>
      </c>
    </row>
    <row r="107" spans="1:7">
      <c r="A107" s="53">
        <v>81753529</v>
      </c>
      <c r="B107" s="53">
        <v>59</v>
      </c>
      <c r="C107" s="53" t="s">
        <v>93</v>
      </c>
      <c r="D107" s="53" t="s">
        <v>91</v>
      </c>
      <c r="E107" s="51" t="s">
        <v>90</v>
      </c>
      <c r="F107" s="53" t="s">
        <v>89</v>
      </c>
      <c r="G107" s="53">
        <v>18844</v>
      </c>
    </row>
    <row r="108" spans="1:7">
      <c r="A108" s="53">
        <v>81849085</v>
      </c>
      <c r="B108" s="53">
        <v>50</v>
      </c>
      <c r="C108" s="53" t="s">
        <v>96</v>
      </c>
      <c r="D108" s="53" t="s">
        <v>82</v>
      </c>
      <c r="E108" s="51" t="s">
        <v>90</v>
      </c>
      <c r="F108" s="53" t="s">
        <v>89</v>
      </c>
      <c r="G108" s="53">
        <v>18172</v>
      </c>
    </row>
    <row r="109" spans="1:7">
      <c r="A109" s="53">
        <v>82912415</v>
      </c>
      <c r="B109" s="53">
        <v>25</v>
      </c>
      <c r="C109" s="53" t="s">
        <v>85</v>
      </c>
      <c r="D109" s="53" t="s">
        <v>82</v>
      </c>
      <c r="E109" s="51" t="s">
        <v>86</v>
      </c>
      <c r="F109" s="53" t="s">
        <v>80</v>
      </c>
      <c r="G109" s="53">
        <v>5744</v>
      </c>
    </row>
    <row r="110" spans="1:7">
      <c r="A110" s="53">
        <v>81132518</v>
      </c>
      <c r="B110" s="53">
        <v>25</v>
      </c>
      <c r="C110" s="53" t="s">
        <v>83</v>
      </c>
      <c r="D110" s="53" t="s">
        <v>87</v>
      </c>
      <c r="E110" s="51" t="s">
        <v>86</v>
      </c>
      <c r="F110" s="53" t="s">
        <v>80</v>
      </c>
      <c r="G110" s="53">
        <v>2889</v>
      </c>
    </row>
    <row r="111" spans="1:7">
      <c r="A111" s="53">
        <v>86702409</v>
      </c>
      <c r="B111" s="53">
        <v>22</v>
      </c>
      <c r="C111" s="53" t="s">
        <v>83</v>
      </c>
      <c r="D111" s="53" t="s">
        <v>82</v>
      </c>
      <c r="E111" s="51" t="s">
        <v>86</v>
      </c>
      <c r="F111" s="53" t="s">
        <v>89</v>
      </c>
      <c r="G111" s="53">
        <v>2871</v>
      </c>
    </row>
    <row r="112" spans="1:7">
      <c r="A112" s="53">
        <v>83057565</v>
      </c>
      <c r="B112" s="53">
        <v>51</v>
      </c>
      <c r="C112" s="53" t="s">
        <v>83</v>
      </c>
      <c r="D112" s="53" t="s">
        <v>91</v>
      </c>
      <c r="E112" s="51" t="s">
        <v>90</v>
      </c>
      <c r="F112" s="53" t="s">
        <v>89</v>
      </c>
      <c r="G112" s="53">
        <v>7484</v>
      </c>
    </row>
    <row r="113" spans="1:7">
      <c r="A113" s="53">
        <v>85503986</v>
      </c>
      <c r="B113" s="53">
        <v>34</v>
      </c>
      <c r="C113" s="53" t="s">
        <v>83</v>
      </c>
      <c r="D113" s="53" t="s">
        <v>82</v>
      </c>
      <c r="E113" s="51" t="s">
        <v>81</v>
      </c>
      <c r="F113" s="53" t="s">
        <v>80</v>
      </c>
      <c r="G113" s="53">
        <v>6074</v>
      </c>
    </row>
    <row r="114" spans="1:7">
      <c r="A114" s="53">
        <v>88117888</v>
      </c>
      <c r="B114" s="53">
        <v>54</v>
      </c>
      <c r="C114" s="53" t="s">
        <v>93</v>
      </c>
      <c r="D114" s="53" t="s">
        <v>82</v>
      </c>
      <c r="E114" s="51" t="s">
        <v>90</v>
      </c>
      <c r="F114" s="53" t="s">
        <v>89</v>
      </c>
      <c r="G114" s="53">
        <v>17328</v>
      </c>
    </row>
    <row r="115" spans="1:7">
      <c r="A115" s="53">
        <v>87645947</v>
      </c>
      <c r="B115" s="53">
        <v>24</v>
      </c>
      <c r="C115" s="53" t="s">
        <v>96</v>
      </c>
      <c r="D115" s="53" t="s">
        <v>87</v>
      </c>
      <c r="E115" s="51" t="s">
        <v>86</v>
      </c>
      <c r="F115" s="53" t="s">
        <v>80</v>
      </c>
      <c r="G115" s="53">
        <v>2774</v>
      </c>
    </row>
    <row r="116" spans="1:7">
      <c r="A116" s="53">
        <v>82188036</v>
      </c>
      <c r="B116" s="53">
        <v>34</v>
      </c>
      <c r="C116" s="53" t="s">
        <v>96</v>
      </c>
      <c r="D116" s="53" t="s">
        <v>91</v>
      </c>
      <c r="E116" s="51" t="s">
        <v>81</v>
      </c>
      <c r="F116" s="53" t="s">
        <v>89</v>
      </c>
      <c r="G116" s="53">
        <v>4505</v>
      </c>
    </row>
    <row r="117" spans="1:7">
      <c r="A117" s="53">
        <v>85066541</v>
      </c>
      <c r="B117" s="53">
        <v>37</v>
      </c>
      <c r="C117" s="53" t="s">
        <v>85</v>
      </c>
      <c r="D117" s="53" t="s">
        <v>82</v>
      </c>
      <c r="E117" s="51" t="s">
        <v>81</v>
      </c>
      <c r="F117" s="53" t="s">
        <v>80</v>
      </c>
      <c r="G117" s="53">
        <v>7428</v>
      </c>
    </row>
    <row r="118" spans="1:7">
      <c r="A118" s="53">
        <v>87040072</v>
      </c>
      <c r="B118" s="53">
        <v>34</v>
      </c>
      <c r="C118" s="53" t="s">
        <v>96</v>
      </c>
      <c r="D118" s="53" t="s">
        <v>82</v>
      </c>
      <c r="E118" s="51" t="s">
        <v>81</v>
      </c>
      <c r="F118" s="53" t="s">
        <v>89</v>
      </c>
      <c r="G118" s="53">
        <v>11631</v>
      </c>
    </row>
    <row r="119" spans="1:7">
      <c r="A119" s="53">
        <v>84039059</v>
      </c>
      <c r="B119" s="53">
        <v>36</v>
      </c>
      <c r="C119" s="53" t="s">
        <v>85</v>
      </c>
      <c r="D119" s="53" t="s">
        <v>88</v>
      </c>
      <c r="E119" s="51" t="s">
        <v>81</v>
      </c>
      <c r="F119" s="53" t="s">
        <v>89</v>
      </c>
      <c r="G119" s="53">
        <v>9738</v>
      </c>
    </row>
    <row r="120" spans="1:7">
      <c r="A120" s="53">
        <v>83679652</v>
      </c>
      <c r="B120" s="53">
        <v>36</v>
      </c>
      <c r="C120" s="53" t="s">
        <v>96</v>
      </c>
      <c r="D120" s="53" t="s">
        <v>88</v>
      </c>
      <c r="E120" s="51" t="s">
        <v>81</v>
      </c>
      <c r="F120" s="53" t="s">
        <v>89</v>
      </c>
      <c r="G120" s="53">
        <v>2835</v>
      </c>
    </row>
    <row r="121" spans="1:7">
      <c r="A121" s="53">
        <v>83227030</v>
      </c>
      <c r="B121" s="53">
        <v>43</v>
      </c>
      <c r="C121" s="53" t="s">
        <v>85</v>
      </c>
      <c r="D121" s="53" t="s">
        <v>88</v>
      </c>
      <c r="E121" s="51" t="s">
        <v>84</v>
      </c>
      <c r="F121" s="53" t="s">
        <v>80</v>
      </c>
      <c r="G121" s="53">
        <v>16959</v>
      </c>
    </row>
    <row r="122" spans="1:7">
      <c r="A122" s="53">
        <v>82482993</v>
      </c>
      <c r="B122" s="53">
        <v>30</v>
      </c>
      <c r="C122" s="53" t="s">
        <v>96</v>
      </c>
      <c r="D122" s="53" t="s">
        <v>82</v>
      </c>
      <c r="E122" s="51" t="s">
        <v>81</v>
      </c>
      <c r="F122" s="53" t="s">
        <v>80</v>
      </c>
      <c r="G122" s="53">
        <v>2613</v>
      </c>
    </row>
    <row r="123" spans="1:7">
      <c r="A123" s="53">
        <v>80960242</v>
      </c>
      <c r="B123" s="53">
        <v>33</v>
      </c>
      <c r="C123" s="53" t="s">
        <v>85</v>
      </c>
      <c r="D123" s="53" t="s">
        <v>88</v>
      </c>
      <c r="E123" s="51" t="s">
        <v>81</v>
      </c>
      <c r="F123" s="53" t="s">
        <v>80</v>
      </c>
      <c r="G123" s="53">
        <v>6146</v>
      </c>
    </row>
    <row r="124" spans="1:7">
      <c r="A124" s="53">
        <v>81242831</v>
      </c>
      <c r="B124" s="53">
        <v>56</v>
      </c>
      <c r="C124" s="53" t="s">
        <v>96</v>
      </c>
      <c r="D124" s="53" t="s">
        <v>91</v>
      </c>
      <c r="E124" s="51" t="s">
        <v>90</v>
      </c>
      <c r="F124" s="53" t="s">
        <v>89</v>
      </c>
      <c r="G124" s="53">
        <v>4963</v>
      </c>
    </row>
    <row r="125" spans="1:7">
      <c r="A125" s="53">
        <v>83406193</v>
      </c>
      <c r="B125" s="53">
        <v>51</v>
      </c>
      <c r="C125" s="53" t="s">
        <v>96</v>
      </c>
      <c r="D125" s="53" t="s">
        <v>82</v>
      </c>
      <c r="E125" s="51" t="s">
        <v>90</v>
      </c>
      <c r="F125" s="53" t="s">
        <v>80</v>
      </c>
      <c r="G125" s="53">
        <v>19537</v>
      </c>
    </row>
    <row r="126" spans="1:7">
      <c r="A126" s="53">
        <v>81999331</v>
      </c>
      <c r="B126" s="53">
        <v>31</v>
      </c>
      <c r="C126" s="53" t="s">
        <v>85</v>
      </c>
      <c r="D126" s="53" t="s">
        <v>91</v>
      </c>
      <c r="E126" s="51" t="s">
        <v>81</v>
      </c>
      <c r="F126" s="53" t="s">
        <v>80</v>
      </c>
      <c r="G126" s="53">
        <v>6172</v>
      </c>
    </row>
    <row r="127" spans="1:7">
      <c r="A127" s="53">
        <v>82070763</v>
      </c>
      <c r="B127" s="53">
        <v>26</v>
      </c>
      <c r="C127" s="53" t="s">
        <v>96</v>
      </c>
      <c r="D127" s="53" t="s">
        <v>82</v>
      </c>
      <c r="E127" s="51" t="s">
        <v>86</v>
      </c>
      <c r="F127" s="53" t="s">
        <v>89</v>
      </c>
      <c r="G127" s="53">
        <v>2368</v>
      </c>
    </row>
    <row r="128" spans="1:7">
      <c r="A128" s="53">
        <v>80489240</v>
      </c>
      <c r="B128" s="53">
        <v>58</v>
      </c>
      <c r="C128" s="53" t="s">
        <v>96</v>
      </c>
      <c r="D128" s="53" t="s">
        <v>91</v>
      </c>
      <c r="E128" s="51" t="s">
        <v>90</v>
      </c>
      <c r="F128" s="53" t="s">
        <v>89</v>
      </c>
      <c r="G128" s="53">
        <v>10312</v>
      </c>
    </row>
    <row r="129" spans="1:7">
      <c r="A129" s="53">
        <v>84230826</v>
      </c>
      <c r="B129" s="53">
        <v>21</v>
      </c>
      <c r="C129" s="53" t="s">
        <v>85</v>
      </c>
      <c r="D129" s="53" t="s">
        <v>87</v>
      </c>
      <c r="E129" s="51" t="s">
        <v>95</v>
      </c>
      <c r="F129" s="53" t="s">
        <v>80</v>
      </c>
      <c r="G129" s="53">
        <v>1675</v>
      </c>
    </row>
    <row r="130" spans="1:7">
      <c r="A130" s="53">
        <v>86571439</v>
      </c>
      <c r="B130" s="53">
        <v>22</v>
      </c>
      <c r="C130" s="53" t="s">
        <v>96</v>
      </c>
      <c r="D130" s="53" t="s">
        <v>87</v>
      </c>
      <c r="E130" s="51" t="s">
        <v>86</v>
      </c>
      <c r="F130" s="53" t="s">
        <v>80</v>
      </c>
      <c r="G130" s="53">
        <v>2523</v>
      </c>
    </row>
    <row r="131" spans="1:7">
      <c r="A131" s="53">
        <v>83302400</v>
      </c>
      <c r="B131" s="53">
        <v>49</v>
      </c>
      <c r="C131" s="53" t="s">
        <v>96</v>
      </c>
      <c r="D131" s="53" t="s">
        <v>91</v>
      </c>
      <c r="E131" s="51" t="s">
        <v>84</v>
      </c>
      <c r="F131" s="53" t="s">
        <v>89</v>
      </c>
      <c r="G131" s="53">
        <v>6567</v>
      </c>
    </row>
    <row r="132" spans="1:7">
      <c r="A132" s="53">
        <v>88484518</v>
      </c>
      <c r="B132" s="53">
        <v>43</v>
      </c>
      <c r="C132" s="53" t="s">
        <v>96</v>
      </c>
      <c r="D132" s="53" t="s">
        <v>82</v>
      </c>
      <c r="E132" s="51" t="s">
        <v>84</v>
      </c>
      <c r="F132" s="53" t="s">
        <v>89</v>
      </c>
      <c r="G132" s="53">
        <v>4739</v>
      </c>
    </row>
    <row r="133" spans="1:7">
      <c r="A133" s="53">
        <v>86518235</v>
      </c>
      <c r="B133" s="53">
        <v>50</v>
      </c>
      <c r="C133" s="53" t="s">
        <v>85</v>
      </c>
      <c r="D133" s="53" t="s">
        <v>82</v>
      </c>
      <c r="E133" s="51" t="s">
        <v>90</v>
      </c>
      <c r="F133" s="53" t="s">
        <v>89</v>
      </c>
      <c r="G133" s="53">
        <v>9208</v>
      </c>
    </row>
    <row r="134" spans="1:7">
      <c r="A134" s="53">
        <v>85389928</v>
      </c>
      <c r="B134" s="53">
        <v>31</v>
      </c>
      <c r="C134" s="53" t="s">
        <v>85</v>
      </c>
      <c r="D134" s="53" t="s">
        <v>82</v>
      </c>
      <c r="E134" s="51" t="s">
        <v>81</v>
      </c>
      <c r="F134" s="53" t="s">
        <v>89</v>
      </c>
      <c r="G134" s="53">
        <v>4559</v>
      </c>
    </row>
    <row r="135" spans="1:7">
      <c r="A135" s="53">
        <v>88603123</v>
      </c>
      <c r="B135" s="53">
        <v>41</v>
      </c>
      <c r="C135" s="53" t="s">
        <v>85</v>
      </c>
      <c r="D135" s="53" t="s">
        <v>87</v>
      </c>
      <c r="E135" s="51" t="s">
        <v>84</v>
      </c>
      <c r="F135" s="53" t="s">
        <v>80</v>
      </c>
      <c r="G135" s="53">
        <v>8189</v>
      </c>
    </row>
    <row r="136" spans="1:7">
      <c r="A136" s="53">
        <v>82649309</v>
      </c>
      <c r="B136" s="53">
        <v>26</v>
      </c>
      <c r="C136" s="53" t="s">
        <v>93</v>
      </c>
      <c r="D136" s="53" t="s">
        <v>87</v>
      </c>
      <c r="E136" s="51" t="s">
        <v>86</v>
      </c>
      <c r="F136" s="53" t="s">
        <v>89</v>
      </c>
      <c r="G136" s="53">
        <v>2942</v>
      </c>
    </row>
    <row r="137" spans="1:7">
      <c r="A137" s="53">
        <v>87615720</v>
      </c>
      <c r="B137" s="53">
        <v>36</v>
      </c>
      <c r="C137" s="53" t="s">
        <v>96</v>
      </c>
      <c r="D137" s="53" t="s">
        <v>88</v>
      </c>
      <c r="E137" s="51" t="s">
        <v>81</v>
      </c>
      <c r="F137" s="53" t="s">
        <v>80</v>
      </c>
      <c r="G137" s="53">
        <v>4941</v>
      </c>
    </row>
    <row r="138" spans="1:7">
      <c r="A138" s="53">
        <v>86470199</v>
      </c>
      <c r="B138" s="53">
        <v>51</v>
      </c>
      <c r="C138" s="53" t="s">
        <v>96</v>
      </c>
      <c r="D138" s="53" t="s">
        <v>91</v>
      </c>
      <c r="E138" s="51" t="s">
        <v>90</v>
      </c>
      <c r="F138" s="53" t="s">
        <v>80</v>
      </c>
      <c r="G138" s="53">
        <v>10650</v>
      </c>
    </row>
    <row r="139" spans="1:7">
      <c r="A139" s="53">
        <v>85230358</v>
      </c>
      <c r="B139" s="53">
        <v>39</v>
      </c>
      <c r="C139" s="53" t="s">
        <v>85</v>
      </c>
      <c r="D139" s="53" t="s">
        <v>91</v>
      </c>
      <c r="E139" s="51" t="s">
        <v>81</v>
      </c>
      <c r="F139" s="53" t="s">
        <v>89</v>
      </c>
      <c r="G139" s="53">
        <v>5902</v>
      </c>
    </row>
    <row r="140" spans="1:7">
      <c r="A140" s="53">
        <v>86332301</v>
      </c>
      <c r="B140" s="53">
        <v>25</v>
      </c>
      <c r="C140" s="53" t="s">
        <v>85</v>
      </c>
      <c r="D140" s="53" t="s">
        <v>82</v>
      </c>
      <c r="E140" s="51" t="s">
        <v>86</v>
      </c>
      <c r="F140" s="53" t="s">
        <v>80</v>
      </c>
      <c r="G140" s="53">
        <v>8639</v>
      </c>
    </row>
    <row r="141" spans="1:7">
      <c r="A141" s="53">
        <v>85045542</v>
      </c>
      <c r="B141" s="53">
        <v>30</v>
      </c>
      <c r="C141" s="53" t="s">
        <v>93</v>
      </c>
      <c r="D141" s="53" t="s">
        <v>82</v>
      </c>
      <c r="E141" s="51" t="s">
        <v>81</v>
      </c>
      <c r="F141" s="53" t="s">
        <v>80</v>
      </c>
      <c r="G141" s="53">
        <v>6347</v>
      </c>
    </row>
    <row r="142" spans="1:7">
      <c r="A142" s="53">
        <v>87979082</v>
      </c>
      <c r="B142" s="53">
        <v>32</v>
      </c>
      <c r="C142" s="53" t="s">
        <v>96</v>
      </c>
      <c r="D142" s="53" t="s">
        <v>82</v>
      </c>
      <c r="E142" s="51" t="s">
        <v>81</v>
      </c>
      <c r="F142" s="53" t="s">
        <v>89</v>
      </c>
      <c r="G142" s="53">
        <v>4200</v>
      </c>
    </row>
    <row r="143" spans="1:7">
      <c r="A143" s="53">
        <v>85619573</v>
      </c>
      <c r="B143" s="53">
        <v>45</v>
      </c>
      <c r="C143" s="53" t="s">
        <v>96</v>
      </c>
      <c r="D143" s="53" t="s">
        <v>82</v>
      </c>
      <c r="E143" s="51" t="s">
        <v>84</v>
      </c>
      <c r="F143" s="53" t="s">
        <v>80</v>
      </c>
      <c r="G143" s="53">
        <v>3452</v>
      </c>
    </row>
    <row r="144" spans="1:7">
      <c r="A144" s="53">
        <v>89933759</v>
      </c>
      <c r="B144" s="53">
        <v>38</v>
      </c>
      <c r="C144" s="53" t="s">
        <v>96</v>
      </c>
      <c r="D144" s="53" t="s">
        <v>94</v>
      </c>
      <c r="E144" s="51" t="s">
        <v>81</v>
      </c>
      <c r="F144" s="53" t="s">
        <v>89</v>
      </c>
      <c r="G144" s="53">
        <v>4317</v>
      </c>
    </row>
    <row r="145" spans="1:7">
      <c r="A145" s="53">
        <v>85860474</v>
      </c>
      <c r="B145" s="53">
        <v>30</v>
      </c>
      <c r="C145" s="53" t="s">
        <v>96</v>
      </c>
      <c r="D145" s="53" t="s">
        <v>82</v>
      </c>
      <c r="E145" s="51" t="s">
        <v>81</v>
      </c>
      <c r="F145" s="53" t="s">
        <v>89</v>
      </c>
      <c r="G145" s="53">
        <v>2632</v>
      </c>
    </row>
    <row r="146" spans="1:7">
      <c r="A146" s="53">
        <v>80691379</v>
      </c>
      <c r="B146" s="53">
        <v>32</v>
      </c>
      <c r="C146" s="53" t="s">
        <v>85</v>
      </c>
      <c r="D146" s="53" t="s">
        <v>88</v>
      </c>
      <c r="E146" s="51" t="s">
        <v>81</v>
      </c>
      <c r="F146" s="53" t="s">
        <v>80</v>
      </c>
      <c r="G146" s="53">
        <v>4668</v>
      </c>
    </row>
    <row r="147" spans="1:7">
      <c r="A147" s="53">
        <v>83831641</v>
      </c>
      <c r="B147" s="53">
        <v>30</v>
      </c>
      <c r="C147" s="53" t="s">
        <v>96</v>
      </c>
      <c r="D147" s="53" t="s">
        <v>82</v>
      </c>
      <c r="E147" s="51" t="s">
        <v>81</v>
      </c>
      <c r="F147" s="53" t="s">
        <v>89</v>
      </c>
      <c r="G147" s="53">
        <v>3204</v>
      </c>
    </row>
    <row r="148" spans="1:7">
      <c r="A148" s="53">
        <v>84092371</v>
      </c>
      <c r="B148" s="53">
        <v>30</v>
      </c>
      <c r="C148" s="53" t="s">
        <v>96</v>
      </c>
      <c r="D148" s="53" t="s">
        <v>87</v>
      </c>
      <c r="E148" s="51" t="s">
        <v>81</v>
      </c>
      <c r="F148" s="53" t="s">
        <v>80</v>
      </c>
      <c r="G148" s="53">
        <v>2720</v>
      </c>
    </row>
    <row r="149" spans="1:7">
      <c r="A149" s="53">
        <v>87585717</v>
      </c>
      <c r="B149" s="53">
        <v>41</v>
      </c>
      <c r="C149" s="53" t="s">
        <v>96</v>
      </c>
      <c r="D149" s="53" t="s">
        <v>82</v>
      </c>
      <c r="E149" s="51" t="s">
        <v>84</v>
      </c>
      <c r="F149" s="53" t="s">
        <v>80</v>
      </c>
      <c r="G149" s="53">
        <v>17181</v>
      </c>
    </row>
    <row r="150" spans="1:7">
      <c r="A150" s="53">
        <v>83740708</v>
      </c>
      <c r="B150" s="53">
        <v>41</v>
      </c>
      <c r="C150" s="53" t="s">
        <v>96</v>
      </c>
      <c r="D150" s="53" t="s">
        <v>91</v>
      </c>
      <c r="E150" s="51" t="s">
        <v>84</v>
      </c>
      <c r="F150" s="53" t="s">
        <v>80</v>
      </c>
      <c r="G150" s="53">
        <v>2238</v>
      </c>
    </row>
    <row r="151" spans="1:7">
      <c r="A151" s="53">
        <v>85083244</v>
      </c>
      <c r="B151" s="53">
        <v>22</v>
      </c>
      <c r="C151" s="53" t="s">
        <v>96</v>
      </c>
      <c r="D151" s="53" t="s">
        <v>87</v>
      </c>
      <c r="E151" s="51" t="s">
        <v>95</v>
      </c>
      <c r="F151" s="53" t="s">
        <v>89</v>
      </c>
      <c r="G151" s="53">
        <v>1483</v>
      </c>
    </row>
    <row r="152" spans="1:7">
      <c r="A152" s="53">
        <v>85563092</v>
      </c>
      <c r="B152" s="53">
        <v>40</v>
      </c>
      <c r="C152" s="53" t="s">
        <v>96</v>
      </c>
      <c r="D152" s="53" t="s">
        <v>82</v>
      </c>
      <c r="E152" s="51" t="s">
        <v>84</v>
      </c>
      <c r="F152" s="53" t="s">
        <v>89</v>
      </c>
      <c r="G152" s="53">
        <v>5605</v>
      </c>
    </row>
    <row r="153" spans="1:7">
      <c r="A153" s="53">
        <v>85167271</v>
      </c>
      <c r="B153" s="53">
        <v>35</v>
      </c>
      <c r="C153" s="53" t="s">
        <v>85</v>
      </c>
      <c r="D153" s="53" t="s">
        <v>94</v>
      </c>
      <c r="E153" s="51" t="s">
        <v>81</v>
      </c>
      <c r="F153" s="53" t="s">
        <v>80</v>
      </c>
      <c r="G153" s="53">
        <v>7295</v>
      </c>
    </row>
    <row r="154" spans="1:7">
      <c r="A154" s="53">
        <v>86200377</v>
      </c>
      <c r="B154" s="53">
        <v>53</v>
      </c>
      <c r="C154" s="53" t="s">
        <v>85</v>
      </c>
      <c r="D154" s="53" t="s">
        <v>88</v>
      </c>
      <c r="E154" s="51" t="s">
        <v>90</v>
      </c>
      <c r="F154" s="53" t="s">
        <v>80</v>
      </c>
      <c r="G154" s="53">
        <v>2306</v>
      </c>
    </row>
    <row r="155" spans="1:7">
      <c r="A155" s="53">
        <v>83913663</v>
      </c>
      <c r="B155" s="53">
        <v>45</v>
      </c>
      <c r="C155" s="53" t="s">
        <v>96</v>
      </c>
      <c r="D155" s="53" t="s">
        <v>82</v>
      </c>
      <c r="E155" s="51" t="s">
        <v>84</v>
      </c>
      <c r="F155" s="53" t="s">
        <v>80</v>
      </c>
      <c r="G155" s="53">
        <v>2348</v>
      </c>
    </row>
    <row r="156" spans="1:7">
      <c r="A156" s="53">
        <v>89790123</v>
      </c>
      <c r="B156" s="53">
        <v>32</v>
      </c>
      <c r="C156" s="53" t="s">
        <v>85</v>
      </c>
      <c r="D156" s="53" t="s">
        <v>82</v>
      </c>
      <c r="E156" s="51" t="s">
        <v>81</v>
      </c>
      <c r="F156" s="53" t="s">
        <v>89</v>
      </c>
      <c r="G156" s="53">
        <v>8998</v>
      </c>
    </row>
    <row r="157" spans="1:7">
      <c r="A157" s="53">
        <v>81895520</v>
      </c>
      <c r="B157" s="53">
        <v>29</v>
      </c>
      <c r="C157" s="53" t="s">
        <v>96</v>
      </c>
      <c r="D157" s="53" t="s">
        <v>87</v>
      </c>
      <c r="E157" s="51" t="s">
        <v>86</v>
      </c>
      <c r="F157" s="53" t="s">
        <v>80</v>
      </c>
      <c r="G157" s="53">
        <v>4319</v>
      </c>
    </row>
    <row r="158" spans="1:7">
      <c r="A158" s="53">
        <v>83586841</v>
      </c>
      <c r="B158" s="53">
        <v>51</v>
      </c>
      <c r="C158" s="53" t="s">
        <v>96</v>
      </c>
      <c r="D158" s="53" t="s">
        <v>91</v>
      </c>
      <c r="E158" s="51" t="s">
        <v>90</v>
      </c>
      <c r="F158" s="53" t="s">
        <v>80</v>
      </c>
      <c r="G158" s="53">
        <v>6132</v>
      </c>
    </row>
    <row r="159" spans="1:7">
      <c r="A159" s="53">
        <v>85216968</v>
      </c>
      <c r="B159" s="53">
        <v>58</v>
      </c>
      <c r="C159" s="53" t="s">
        <v>96</v>
      </c>
      <c r="D159" s="53" t="s">
        <v>82</v>
      </c>
      <c r="E159" s="51" t="s">
        <v>90</v>
      </c>
      <c r="F159" s="53" t="s">
        <v>89</v>
      </c>
      <c r="G159" s="53">
        <v>3346</v>
      </c>
    </row>
    <row r="160" spans="1:7">
      <c r="A160" s="53">
        <v>87750561</v>
      </c>
      <c r="B160" s="53">
        <v>40</v>
      </c>
      <c r="C160" s="53" t="s">
        <v>85</v>
      </c>
      <c r="D160" s="53" t="s">
        <v>91</v>
      </c>
      <c r="E160" s="51" t="s">
        <v>84</v>
      </c>
      <c r="F160" s="53" t="s">
        <v>80</v>
      </c>
      <c r="G160" s="53">
        <v>10855</v>
      </c>
    </row>
    <row r="161" spans="1:7">
      <c r="A161" s="53">
        <v>82850625</v>
      </c>
      <c r="B161" s="53">
        <v>34</v>
      </c>
      <c r="C161" s="53" t="s">
        <v>85</v>
      </c>
      <c r="D161" s="53" t="s">
        <v>91</v>
      </c>
      <c r="E161" s="51" t="s">
        <v>81</v>
      </c>
      <c r="F161" s="53" t="s">
        <v>89</v>
      </c>
      <c r="G161" s="53">
        <v>2231</v>
      </c>
    </row>
    <row r="162" spans="1:7">
      <c r="A162" s="53">
        <v>85663016</v>
      </c>
      <c r="B162" s="53">
        <v>22</v>
      </c>
      <c r="C162" s="53" t="s">
        <v>96</v>
      </c>
      <c r="D162" s="53" t="s">
        <v>87</v>
      </c>
      <c r="E162" s="51" t="s">
        <v>86</v>
      </c>
      <c r="F162" s="53" t="s">
        <v>80</v>
      </c>
      <c r="G162" s="53">
        <v>2323</v>
      </c>
    </row>
    <row r="163" spans="1:7">
      <c r="A163" s="53">
        <v>83244308</v>
      </c>
      <c r="B163" s="53">
        <v>27</v>
      </c>
      <c r="C163" s="53" t="s">
        <v>83</v>
      </c>
      <c r="D163" s="53" t="s">
        <v>82</v>
      </c>
      <c r="E163" s="51" t="s">
        <v>86</v>
      </c>
      <c r="F163" s="53" t="s">
        <v>80</v>
      </c>
      <c r="G163" s="53">
        <v>2024</v>
      </c>
    </row>
    <row r="164" spans="1:7">
      <c r="A164" s="53">
        <v>81562236</v>
      </c>
      <c r="B164" s="53">
        <v>28</v>
      </c>
      <c r="C164" s="53" t="s">
        <v>96</v>
      </c>
      <c r="D164" s="53" t="s">
        <v>82</v>
      </c>
      <c r="E164" s="51" t="s">
        <v>86</v>
      </c>
      <c r="F164" s="53" t="s">
        <v>80</v>
      </c>
      <c r="G164" s="53">
        <v>2713</v>
      </c>
    </row>
    <row r="165" spans="1:7">
      <c r="A165" s="53">
        <v>85865739</v>
      </c>
      <c r="B165" s="53">
        <v>57</v>
      </c>
      <c r="C165" s="53" t="s">
        <v>83</v>
      </c>
      <c r="D165" s="53" t="s">
        <v>88</v>
      </c>
      <c r="E165" s="51" t="s">
        <v>90</v>
      </c>
      <c r="F165" s="53" t="s">
        <v>80</v>
      </c>
      <c r="G165" s="53">
        <v>9439</v>
      </c>
    </row>
    <row r="166" spans="1:7">
      <c r="A166" s="53">
        <v>86813872</v>
      </c>
      <c r="B166" s="53">
        <v>27</v>
      </c>
      <c r="C166" s="53" t="s">
        <v>96</v>
      </c>
      <c r="D166" s="53" t="s">
        <v>82</v>
      </c>
      <c r="E166" s="51" t="s">
        <v>86</v>
      </c>
      <c r="F166" s="53" t="s">
        <v>80</v>
      </c>
      <c r="G166" s="53">
        <v>2566</v>
      </c>
    </row>
    <row r="167" spans="1:7">
      <c r="A167" s="53">
        <v>84796478</v>
      </c>
      <c r="B167" s="53">
        <v>50</v>
      </c>
      <c r="C167" s="53" t="s">
        <v>83</v>
      </c>
      <c r="D167" s="53" t="s">
        <v>82</v>
      </c>
      <c r="E167" s="51" t="s">
        <v>90</v>
      </c>
      <c r="F167" s="53" t="s">
        <v>89</v>
      </c>
      <c r="G167" s="53">
        <v>19926</v>
      </c>
    </row>
    <row r="168" spans="1:7">
      <c r="A168" s="53">
        <v>86733360</v>
      </c>
      <c r="B168" s="53">
        <v>41</v>
      </c>
      <c r="C168" s="53" t="s">
        <v>83</v>
      </c>
      <c r="D168" s="53" t="s">
        <v>82</v>
      </c>
      <c r="E168" s="51" t="s">
        <v>84</v>
      </c>
      <c r="F168" s="53" t="s">
        <v>80</v>
      </c>
      <c r="G168" s="53">
        <v>2451</v>
      </c>
    </row>
    <row r="169" spans="1:7">
      <c r="A169" s="53">
        <v>85983389</v>
      </c>
      <c r="B169" s="53">
        <v>30</v>
      </c>
      <c r="C169" s="53" t="s">
        <v>85</v>
      </c>
      <c r="D169" s="53" t="s">
        <v>82</v>
      </c>
      <c r="E169" s="51" t="s">
        <v>81</v>
      </c>
      <c r="F169" s="53" t="s">
        <v>89</v>
      </c>
      <c r="G169" s="53">
        <v>9419</v>
      </c>
    </row>
    <row r="170" spans="1:7">
      <c r="A170" s="53">
        <v>83587577</v>
      </c>
      <c r="B170" s="53">
        <v>38</v>
      </c>
      <c r="C170" s="53" t="s">
        <v>85</v>
      </c>
      <c r="D170" s="53" t="s">
        <v>91</v>
      </c>
      <c r="E170" s="51" t="s">
        <v>81</v>
      </c>
      <c r="F170" s="53" t="s">
        <v>89</v>
      </c>
      <c r="G170" s="53">
        <v>8686</v>
      </c>
    </row>
    <row r="171" spans="1:7">
      <c r="A171" s="53">
        <v>82131303</v>
      </c>
      <c r="B171" s="53">
        <v>32</v>
      </c>
      <c r="C171" s="53" t="s">
        <v>83</v>
      </c>
      <c r="D171" s="53" t="s">
        <v>94</v>
      </c>
      <c r="E171" s="51" t="s">
        <v>81</v>
      </c>
      <c r="F171" s="53" t="s">
        <v>80</v>
      </c>
      <c r="G171" s="53">
        <v>3038</v>
      </c>
    </row>
    <row r="172" spans="1:7">
      <c r="A172" s="53">
        <v>85740092</v>
      </c>
      <c r="B172" s="53">
        <v>27</v>
      </c>
      <c r="C172" s="53" t="s">
        <v>83</v>
      </c>
      <c r="D172" s="53" t="s">
        <v>82</v>
      </c>
      <c r="E172" s="51" t="s">
        <v>86</v>
      </c>
      <c r="F172" s="53" t="s">
        <v>80</v>
      </c>
      <c r="G172" s="53">
        <v>3058</v>
      </c>
    </row>
    <row r="173" spans="1:7">
      <c r="A173" s="53">
        <v>89862644</v>
      </c>
      <c r="B173" s="53">
        <v>21</v>
      </c>
      <c r="C173" s="53" t="s">
        <v>85</v>
      </c>
      <c r="D173" s="53" t="s">
        <v>87</v>
      </c>
      <c r="E173" s="51" t="s">
        <v>95</v>
      </c>
      <c r="F173" s="53" t="s">
        <v>89</v>
      </c>
      <c r="G173" s="53">
        <v>2325</v>
      </c>
    </row>
    <row r="174" spans="1:7">
      <c r="A174" s="53">
        <v>85158354</v>
      </c>
      <c r="B174" s="53">
        <v>22</v>
      </c>
      <c r="C174" s="53" t="s">
        <v>83</v>
      </c>
      <c r="D174" s="53" t="s">
        <v>88</v>
      </c>
      <c r="E174" s="51" t="s">
        <v>81</v>
      </c>
      <c r="F174" s="53" t="s">
        <v>80</v>
      </c>
      <c r="G174" s="53">
        <v>2088</v>
      </c>
    </row>
    <row r="175" spans="1:7">
      <c r="A175" s="53">
        <v>89731800</v>
      </c>
      <c r="B175" s="53">
        <v>30</v>
      </c>
      <c r="C175" s="53" t="s">
        <v>83</v>
      </c>
      <c r="D175" s="53" t="s">
        <v>82</v>
      </c>
      <c r="E175" s="51" t="s">
        <v>81</v>
      </c>
      <c r="F175" s="53" t="s">
        <v>80</v>
      </c>
      <c r="G175" s="53">
        <v>3072</v>
      </c>
    </row>
    <row r="176" spans="1:7">
      <c r="A176" s="53">
        <v>85680495</v>
      </c>
      <c r="B176" s="53">
        <v>45</v>
      </c>
      <c r="C176" s="53" t="s">
        <v>85</v>
      </c>
      <c r="D176" s="53" t="s">
        <v>88</v>
      </c>
      <c r="E176" s="51" t="s">
        <v>84</v>
      </c>
      <c r="F176" s="53" t="s">
        <v>89</v>
      </c>
      <c r="G176" s="53">
        <v>5006</v>
      </c>
    </row>
    <row r="177" spans="1:7">
      <c r="A177" s="53">
        <v>82430154</v>
      </c>
      <c r="B177" s="53">
        <v>56</v>
      </c>
      <c r="C177" s="53" t="s">
        <v>83</v>
      </c>
      <c r="D177" s="53" t="s">
        <v>82</v>
      </c>
      <c r="E177" s="51" t="s">
        <v>90</v>
      </c>
      <c r="F177" s="53" t="s">
        <v>89</v>
      </c>
      <c r="G177" s="53">
        <v>4257</v>
      </c>
    </row>
    <row r="178" spans="1:7">
      <c r="A178" s="53">
        <v>89613334</v>
      </c>
      <c r="B178" s="53">
        <v>33</v>
      </c>
      <c r="C178" s="53" t="s">
        <v>83</v>
      </c>
      <c r="D178" s="53" t="s">
        <v>82</v>
      </c>
      <c r="E178" s="51" t="s">
        <v>81</v>
      </c>
      <c r="F178" s="53" t="s">
        <v>80</v>
      </c>
      <c r="G178" s="53">
        <v>2500</v>
      </c>
    </row>
    <row r="179" spans="1:7">
      <c r="A179" s="53">
        <v>85974403</v>
      </c>
      <c r="B179" s="53">
        <v>23</v>
      </c>
      <c r="C179" s="53" t="s">
        <v>83</v>
      </c>
      <c r="D179" s="53" t="s">
        <v>82</v>
      </c>
      <c r="E179" s="51" t="s">
        <v>95</v>
      </c>
      <c r="F179" s="53" t="s">
        <v>80</v>
      </c>
      <c r="G179" s="53">
        <v>1102</v>
      </c>
    </row>
    <row r="180" spans="1:7">
      <c r="A180" s="53">
        <v>87934164</v>
      </c>
      <c r="B180" s="53">
        <v>46</v>
      </c>
      <c r="C180" s="53" t="s">
        <v>85</v>
      </c>
      <c r="D180" s="53" t="s">
        <v>88</v>
      </c>
      <c r="E180" s="51" t="s">
        <v>84</v>
      </c>
      <c r="F180" s="53" t="s">
        <v>89</v>
      </c>
      <c r="G180" s="53">
        <v>10453</v>
      </c>
    </row>
    <row r="181" spans="1:7">
      <c r="A181" s="53">
        <v>84196109</v>
      </c>
      <c r="B181" s="53">
        <v>38</v>
      </c>
      <c r="C181" s="53" t="s">
        <v>83</v>
      </c>
      <c r="D181" s="53" t="s">
        <v>88</v>
      </c>
      <c r="E181" s="51" t="s">
        <v>81</v>
      </c>
      <c r="F181" s="53" t="s">
        <v>89</v>
      </c>
      <c r="G181" s="53">
        <v>2288</v>
      </c>
    </row>
    <row r="182" spans="1:7">
      <c r="A182" s="53">
        <v>86528527</v>
      </c>
      <c r="B182" s="53">
        <v>31</v>
      </c>
      <c r="C182" s="53" t="s">
        <v>83</v>
      </c>
      <c r="D182" s="53" t="s">
        <v>87</v>
      </c>
      <c r="E182" s="51" t="s">
        <v>81</v>
      </c>
      <c r="F182" s="53" t="s">
        <v>89</v>
      </c>
      <c r="G182" s="53">
        <v>3929</v>
      </c>
    </row>
    <row r="183" spans="1:7">
      <c r="A183" s="53">
        <v>87265633</v>
      </c>
      <c r="B183" s="53">
        <v>34</v>
      </c>
      <c r="C183" s="53" t="s">
        <v>83</v>
      </c>
      <c r="D183" s="53" t="s">
        <v>88</v>
      </c>
      <c r="E183" s="51" t="s">
        <v>81</v>
      </c>
      <c r="F183" s="53" t="s">
        <v>89</v>
      </c>
      <c r="G183" s="53">
        <v>2311</v>
      </c>
    </row>
    <row r="184" spans="1:7">
      <c r="A184" s="53">
        <v>87341974</v>
      </c>
      <c r="B184" s="53">
        <v>41</v>
      </c>
      <c r="C184" s="53" t="s">
        <v>85</v>
      </c>
      <c r="D184" s="53" t="s">
        <v>88</v>
      </c>
      <c r="E184" s="51" t="s">
        <v>84</v>
      </c>
      <c r="F184" s="53" t="s">
        <v>89</v>
      </c>
      <c r="G184" s="53">
        <v>3140</v>
      </c>
    </row>
    <row r="185" spans="1:7">
      <c r="A185" s="53">
        <v>80755861</v>
      </c>
      <c r="B185" s="53">
        <v>50</v>
      </c>
      <c r="C185" s="53" t="s">
        <v>83</v>
      </c>
      <c r="D185" s="53" t="s">
        <v>82</v>
      </c>
      <c r="E185" s="51" t="s">
        <v>90</v>
      </c>
      <c r="F185" s="53" t="s">
        <v>80</v>
      </c>
      <c r="G185" s="53">
        <v>3690</v>
      </c>
    </row>
    <row r="186" spans="1:7">
      <c r="A186" s="53">
        <v>80910889</v>
      </c>
      <c r="B186" s="53">
        <v>53</v>
      </c>
      <c r="C186" s="53" t="s">
        <v>83</v>
      </c>
      <c r="D186" s="53" t="s">
        <v>88</v>
      </c>
      <c r="E186" s="51" t="s">
        <v>90</v>
      </c>
      <c r="F186" s="53" t="s">
        <v>89</v>
      </c>
      <c r="G186" s="53">
        <v>4450</v>
      </c>
    </row>
    <row r="187" spans="1:7">
      <c r="A187" s="53">
        <v>89338559</v>
      </c>
      <c r="B187" s="53">
        <v>33</v>
      </c>
      <c r="C187" s="53" t="s">
        <v>96</v>
      </c>
      <c r="D187" s="53" t="s">
        <v>82</v>
      </c>
      <c r="E187" s="51" t="s">
        <v>81</v>
      </c>
      <c r="F187" s="53" t="s">
        <v>89</v>
      </c>
      <c r="G187" s="53">
        <v>2756</v>
      </c>
    </row>
    <row r="188" spans="1:7">
      <c r="A188" s="53">
        <v>87575837</v>
      </c>
      <c r="B188" s="53">
        <v>40</v>
      </c>
      <c r="C188" s="53" t="s">
        <v>83</v>
      </c>
      <c r="D188" s="53" t="s">
        <v>87</v>
      </c>
      <c r="E188" s="51" t="s">
        <v>84</v>
      </c>
      <c r="F188" s="53" t="s">
        <v>89</v>
      </c>
      <c r="G188" s="53">
        <v>19033</v>
      </c>
    </row>
    <row r="189" spans="1:7">
      <c r="A189" s="53">
        <v>81283514</v>
      </c>
      <c r="B189" s="53">
        <v>55</v>
      </c>
      <c r="C189" s="53" t="s">
        <v>96</v>
      </c>
      <c r="D189" s="53" t="s">
        <v>91</v>
      </c>
      <c r="E189" s="51" t="s">
        <v>90</v>
      </c>
      <c r="F189" s="53" t="s">
        <v>80</v>
      </c>
      <c r="G189" s="53">
        <v>18722</v>
      </c>
    </row>
    <row r="190" spans="1:7">
      <c r="A190" s="53">
        <v>86479821</v>
      </c>
      <c r="B190" s="53">
        <v>34</v>
      </c>
      <c r="C190" s="53" t="s">
        <v>83</v>
      </c>
      <c r="D190" s="53" t="s">
        <v>87</v>
      </c>
      <c r="E190" s="51" t="s">
        <v>81</v>
      </c>
      <c r="F190" s="53" t="s">
        <v>80</v>
      </c>
      <c r="G190" s="53">
        <v>9547</v>
      </c>
    </row>
    <row r="191" spans="1:7">
      <c r="A191" s="53">
        <v>80239904</v>
      </c>
      <c r="B191" s="53">
        <v>51</v>
      </c>
      <c r="C191" s="53" t="s">
        <v>96</v>
      </c>
      <c r="D191" s="53" t="s">
        <v>82</v>
      </c>
      <c r="E191" s="51" t="s">
        <v>90</v>
      </c>
      <c r="F191" s="53" t="s">
        <v>89</v>
      </c>
      <c r="G191" s="53">
        <v>13734</v>
      </c>
    </row>
    <row r="192" spans="1:7">
      <c r="A192" s="53">
        <v>89112946</v>
      </c>
      <c r="B192" s="53">
        <v>52</v>
      </c>
      <c r="C192" s="53" t="s">
        <v>83</v>
      </c>
      <c r="D192" s="53" t="s">
        <v>91</v>
      </c>
      <c r="E192" s="51" t="s">
        <v>90</v>
      </c>
      <c r="F192" s="53" t="s">
        <v>80</v>
      </c>
      <c r="G192" s="53">
        <v>19999</v>
      </c>
    </row>
    <row r="193" spans="1:7">
      <c r="A193" s="53">
        <v>82554564</v>
      </c>
      <c r="B193" s="53">
        <v>27</v>
      </c>
      <c r="C193" s="53" t="s">
        <v>83</v>
      </c>
      <c r="D193" s="53" t="s">
        <v>82</v>
      </c>
      <c r="E193" s="51" t="s">
        <v>86</v>
      </c>
      <c r="F193" s="53" t="s">
        <v>89</v>
      </c>
      <c r="G193" s="53">
        <v>2279</v>
      </c>
    </row>
    <row r="194" spans="1:7">
      <c r="A194" s="53">
        <v>83690230</v>
      </c>
      <c r="B194" s="53">
        <v>35</v>
      </c>
      <c r="C194" s="53" t="s">
        <v>83</v>
      </c>
      <c r="D194" s="53" t="s">
        <v>88</v>
      </c>
      <c r="E194" s="51" t="s">
        <v>81</v>
      </c>
      <c r="F194" s="53" t="s">
        <v>80</v>
      </c>
      <c r="G194" s="53">
        <v>5916</v>
      </c>
    </row>
    <row r="195" spans="1:7">
      <c r="A195" s="53">
        <v>84289789</v>
      </c>
      <c r="B195" s="53">
        <v>43</v>
      </c>
      <c r="C195" s="53" t="s">
        <v>83</v>
      </c>
      <c r="D195" s="53" t="s">
        <v>82</v>
      </c>
      <c r="E195" s="51" t="s">
        <v>84</v>
      </c>
      <c r="F195" s="53" t="s">
        <v>80</v>
      </c>
      <c r="G195" s="53">
        <v>2089</v>
      </c>
    </row>
    <row r="196" spans="1:7">
      <c r="A196" s="53">
        <v>80374325</v>
      </c>
      <c r="B196" s="53">
        <v>45</v>
      </c>
      <c r="C196" s="53" t="s">
        <v>83</v>
      </c>
      <c r="D196" s="53" t="s">
        <v>88</v>
      </c>
      <c r="E196" s="51" t="s">
        <v>84</v>
      </c>
      <c r="F196" s="53" t="s">
        <v>80</v>
      </c>
      <c r="G196" s="53">
        <v>16792</v>
      </c>
    </row>
    <row r="197" spans="1:7">
      <c r="A197" s="53">
        <v>80938177</v>
      </c>
      <c r="B197" s="53">
        <v>37</v>
      </c>
      <c r="C197" s="53" t="s">
        <v>96</v>
      </c>
      <c r="D197" s="53" t="s">
        <v>82</v>
      </c>
      <c r="E197" s="51" t="s">
        <v>81</v>
      </c>
      <c r="F197" s="53" t="s">
        <v>80</v>
      </c>
      <c r="G197" s="53">
        <v>3564</v>
      </c>
    </row>
    <row r="198" spans="1:7">
      <c r="A198" s="53">
        <v>85952012</v>
      </c>
      <c r="B198" s="53">
        <v>35</v>
      </c>
      <c r="C198" s="53" t="s">
        <v>83</v>
      </c>
      <c r="D198" s="53" t="s">
        <v>82</v>
      </c>
      <c r="E198" s="51" t="s">
        <v>81</v>
      </c>
      <c r="F198" s="53" t="s">
        <v>89</v>
      </c>
      <c r="G198" s="53">
        <v>4425</v>
      </c>
    </row>
    <row r="199" spans="1:7">
      <c r="A199" s="53">
        <v>86528771</v>
      </c>
      <c r="B199" s="53">
        <v>42</v>
      </c>
      <c r="C199" s="53" t="s">
        <v>83</v>
      </c>
      <c r="D199" s="53" t="s">
        <v>88</v>
      </c>
      <c r="E199" s="51" t="s">
        <v>84</v>
      </c>
      <c r="F199" s="53" t="s">
        <v>89</v>
      </c>
      <c r="G199" s="53">
        <v>5265</v>
      </c>
    </row>
    <row r="200" spans="1:7">
      <c r="A200" s="53">
        <v>83535574</v>
      </c>
      <c r="B200" s="53">
        <v>38</v>
      </c>
      <c r="C200" s="53" t="s">
        <v>96</v>
      </c>
      <c r="D200" s="53" t="s">
        <v>91</v>
      </c>
      <c r="E200" s="51" t="s">
        <v>81</v>
      </c>
      <c r="F200" s="53" t="s">
        <v>80</v>
      </c>
      <c r="G200" s="53">
        <v>6553</v>
      </c>
    </row>
    <row r="201" spans="1:7">
      <c r="A201" s="53">
        <v>83535482</v>
      </c>
      <c r="B201" s="53">
        <v>38</v>
      </c>
      <c r="C201" s="53" t="s">
        <v>83</v>
      </c>
      <c r="D201" s="53" t="s">
        <v>82</v>
      </c>
      <c r="E201" s="51" t="s">
        <v>81</v>
      </c>
      <c r="F201" s="53" t="s">
        <v>80</v>
      </c>
      <c r="G201" s="53">
        <v>6261</v>
      </c>
    </row>
    <row r="202" spans="1:7">
      <c r="A202" s="53">
        <v>86353156</v>
      </c>
      <c r="B202" s="53">
        <v>27</v>
      </c>
      <c r="C202" s="53" t="s">
        <v>96</v>
      </c>
      <c r="D202" s="53" t="s">
        <v>87</v>
      </c>
      <c r="E202" s="51" t="s">
        <v>86</v>
      </c>
      <c r="F202" s="53" t="s">
        <v>80</v>
      </c>
      <c r="G202" s="53">
        <v>4298</v>
      </c>
    </row>
    <row r="203" spans="1:7">
      <c r="A203" s="53">
        <v>85629566</v>
      </c>
      <c r="B203" s="53">
        <v>49</v>
      </c>
      <c r="C203" s="53" t="s">
        <v>83</v>
      </c>
      <c r="D203" s="53" t="s">
        <v>91</v>
      </c>
      <c r="E203" s="51" t="s">
        <v>84</v>
      </c>
      <c r="F203" s="53" t="s">
        <v>80</v>
      </c>
      <c r="G203" s="53">
        <v>6804</v>
      </c>
    </row>
    <row r="204" spans="1:7">
      <c r="A204" s="53">
        <v>84125062</v>
      </c>
      <c r="B204" s="53">
        <v>34</v>
      </c>
      <c r="C204" s="53" t="s">
        <v>83</v>
      </c>
      <c r="D204" s="53" t="s">
        <v>91</v>
      </c>
      <c r="E204" s="51" t="s">
        <v>81</v>
      </c>
      <c r="F204" s="53" t="s">
        <v>80</v>
      </c>
      <c r="G204" s="53">
        <v>3815</v>
      </c>
    </row>
    <row r="205" spans="1:7">
      <c r="A205" s="53">
        <v>86838472</v>
      </c>
      <c r="B205" s="53">
        <v>40</v>
      </c>
      <c r="C205" s="53" t="s">
        <v>83</v>
      </c>
      <c r="D205" s="53" t="s">
        <v>88</v>
      </c>
      <c r="E205" s="51" t="s">
        <v>84</v>
      </c>
      <c r="F205" s="53" t="s">
        <v>80</v>
      </c>
      <c r="G205" s="53">
        <v>2741</v>
      </c>
    </row>
    <row r="206" spans="1:7">
      <c r="A206" s="53">
        <v>86643383</v>
      </c>
      <c r="B206" s="53">
        <v>38</v>
      </c>
      <c r="C206" s="53" t="s">
        <v>83</v>
      </c>
      <c r="D206" s="53" t="s">
        <v>87</v>
      </c>
      <c r="E206" s="51" t="s">
        <v>81</v>
      </c>
      <c r="F206" s="53" t="s">
        <v>80</v>
      </c>
      <c r="G206" s="53">
        <v>6673</v>
      </c>
    </row>
    <row r="207" spans="1:7">
      <c r="A207" s="53">
        <v>84170936</v>
      </c>
      <c r="B207" s="53">
        <v>29</v>
      </c>
      <c r="C207" s="53" t="s">
        <v>85</v>
      </c>
      <c r="D207" s="53" t="s">
        <v>82</v>
      </c>
      <c r="E207" s="51" t="s">
        <v>86</v>
      </c>
      <c r="F207" s="53" t="s">
        <v>89</v>
      </c>
      <c r="G207" s="53">
        <v>7639</v>
      </c>
    </row>
    <row r="208" spans="1:7">
      <c r="A208" s="53">
        <v>81589555</v>
      </c>
      <c r="B208" s="53">
        <v>22</v>
      </c>
      <c r="C208" s="53" t="s">
        <v>83</v>
      </c>
      <c r="D208" s="53" t="s">
        <v>82</v>
      </c>
      <c r="E208" s="51" t="s">
        <v>86</v>
      </c>
      <c r="F208" s="53" t="s">
        <v>80</v>
      </c>
      <c r="G208" s="53">
        <v>2328</v>
      </c>
    </row>
    <row r="209" spans="1:7">
      <c r="A209" s="53">
        <v>80588502</v>
      </c>
      <c r="B209" s="53">
        <v>36</v>
      </c>
      <c r="C209" s="53" t="s">
        <v>83</v>
      </c>
      <c r="D209" s="53" t="s">
        <v>87</v>
      </c>
      <c r="E209" s="51" t="s">
        <v>81</v>
      </c>
      <c r="F209" s="53" t="s">
        <v>89</v>
      </c>
      <c r="G209" s="53">
        <v>2153</v>
      </c>
    </row>
    <row r="210" spans="1:7">
      <c r="A210" s="53">
        <v>89662689</v>
      </c>
      <c r="B210" s="53">
        <v>40</v>
      </c>
      <c r="C210" s="53" t="s">
        <v>83</v>
      </c>
      <c r="D210" s="53" t="s">
        <v>94</v>
      </c>
      <c r="E210" s="51" t="s">
        <v>84</v>
      </c>
      <c r="F210" s="53" t="s">
        <v>80</v>
      </c>
      <c r="G210" s="53">
        <v>4876</v>
      </c>
    </row>
    <row r="211" spans="1:7">
      <c r="A211" s="53">
        <v>80324807</v>
      </c>
      <c r="B211" s="53">
        <v>46</v>
      </c>
      <c r="C211" s="53" t="s">
        <v>83</v>
      </c>
      <c r="D211" s="53" t="s">
        <v>91</v>
      </c>
      <c r="E211" s="51" t="s">
        <v>84</v>
      </c>
      <c r="F211" s="53" t="s">
        <v>80</v>
      </c>
      <c r="G211" s="53">
        <v>9396</v>
      </c>
    </row>
    <row r="212" spans="1:7">
      <c r="A212" s="53">
        <v>89329454</v>
      </c>
      <c r="B212" s="53">
        <v>32</v>
      </c>
      <c r="C212" s="53" t="s">
        <v>85</v>
      </c>
      <c r="D212" s="53" t="s">
        <v>91</v>
      </c>
      <c r="E212" s="51" t="s">
        <v>81</v>
      </c>
      <c r="F212" s="53" t="s">
        <v>80</v>
      </c>
      <c r="G212" s="53">
        <v>10400</v>
      </c>
    </row>
    <row r="213" spans="1:7">
      <c r="A213" s="53">
        <v>85558273</v>
      </c>
      <c r="B213" s="53">
        <v>30</v>
      </c>
      <c r="C213" s="53" t="s">
        <v>96</v>
      </c>
      <c r="D213" s="53" t="s">
        <v>87</v>
      </c>
      <c r="E213" s="51" t="s">
        <v>81</v>
      </c>
      <c r="F213" s="53" t="s">
        <v>80</v>
      </c>
      <c r="G213" s="53">
        <v>8474</v>
      </c>
    </row>
    <row r="214" spans="1:7">
      <c r="A214" s="53">
        <v>86328720</v>
      </c>
      <c r="B214" s="53">
        <v>27</v>
      </c>
      <c r="C214" s="53" t="s">
        <v>85</v>
      </c>
      <c r="D214" s="53" t="s">
        <v>82</v>
      </c>
      <c r="E214" s="51" t="s">
        <v>86</v>
      </c>
      <c r="F214" s="53" t="s">
        <v>89</v>
      </c>
      <c r="G214" s="53">
        <v>9981</v>
      </c>
    </row>
    <row r="215" spans="1:7">
      <c r="A215" s="53">
        <v>83678401</v>
      </c>
      <c r="B215" s="53">
        <v>51</v>
      </c>
      <c r="C215" s="53" t="s">
        <v>83</v>
      </c>
      <c r="D215" s="53" t="s">
        <v>91</v>
      </c>
      <c r="E215" s="51" t="s">
        <v>90</v>
      </c>
      <c r="F215" s="53" t="s">
        <v>80</v>
      </c>
      <c r="G215" s="53">
        <v>12490</v>
      </c>
    </row>
    <row r="216" spans="1:7">
      <c r="A216" s="53">
        <v>86112338</v>
      </c>
      <c r="B216" s="53">
        <v>30</v>
      </c>
      <c r="C216" s="53" t="s">
        <v>96</v>
      </c>
      <c r="D216" s="53" t="s">
        <v>82</v>
      </c>
      <c r="E216" s="51" t="s">
        <v>81</v>
      </c>
      <c r="F216" s="53" t="s">
        <v>89</v>
      </c>
      <c r="G216" s="53">
        <v>2657</v>
      </c>
    </row>
    <row r="217" spans="1:7">
      <c r="A217" s="53">
        <v>86419966</v>
      </c>
      <c r="B217" s="53">
        <v>41</v>
      </c>
      <c r="C217" s="53" t="s">
        <v>85</v>
      </c>
      <c r="D217" s="53" t="s">
        <v>82</v>
      </c>
      <c r="E217" s="51" t="s">
        <v>84</v>
      </c>
      <c r="F217" s="53" t="s">
        <v>89</v>
      </c>
      <c r="G217" s="53">
        <v>13591</v>
      </c>
    </row>
    <row r="218" spans="1:7">
      <c r="A218" s="53">
        <v>83747503</v>
      </c>
      <c r="B218" s="53">
        <v>30</v>
      </c>
      <c r="C218" s="53" t="s">
        <v>85</v>
      </c>
      <c r="D218" s="53" t="s">
        <v>91</v>
      </c>
      <c r="E218" s="51" t="s">
        <v>81</v>
      </c>
      <c r="F218" s="53" t="s">
        <v>89</v>
      </c>
      <c r="G218" s="53">
        <v>6696</v>
      </c>
    </row>
    <row r="219" spans="1:7">
      <c r="A219" s="53">
        <v>89574892</v>
      </c>
      <c r="B219" s="53">
        <v>29</v>
      </c>
      <c r="C219" s="53" t="s">
        <v>83</v>
      </c>
      <c r="D219" s="53" t="s">
        <v>82</v>
      </c>
      <c r="E219" s="51" t="s">
        <v>86</v>
      </c>
      <c r="F219" s="53" t="s">
        <v>80</v>
      </c>
      <c r="G219" s="53">
        <v>2058</v>
      </c>
    </row>
    <row r="220" spans="1:7">
      <c r="A220" s="53">
        <v>84463853</v>
      </c>
      <c r="B220" s="53">
        <v>45</v>
      </c>
      <c r="C220" s="53" t="s">
        <v>85</v>
      </c>
      <c r="D220" s="53" t="s">
        <v>82</v>
      </c>
      <c r="E220" s="51" t="s">
        <v>84</v>
      </c>
      <c r="F220" s="53" t="s">
        <v>89</v>
      </c>
      <c r="G220" s="53">
        <v>8865</v>
      </c>
    </row>
    <row r="221" spans="1:7">
      <c r="A221" s="53">
        <v>84310077</v>
      </c>
      <c r="B221" s="53">
        <v>54</v>
      </c>
      <c r="C221" s="53" t="s">
        <v>85</v>
      </c>
      <c r="D221" s="53" t="s">
        <v>82</v>
      </c>
      <c r="E221" s="51" t="s">
        <v>90</v>
      </c>
      <c r="F221" s="53" t="s">
        <v>89</v>
      </c>
      <c r="G221" s="53">
        <v>5940</v>
      </c>
    </row>
    <row r="222" spans="1:7">
      <c r="A222" s="53">
        <v>86168671</v>
      </c>
      <c r="B222" s="53">
        <v>36</v>
      </c>
      <c r="C222" s="53" t="s">
        <v>83</v>
      </c>
      <c r="D222" s="53" t="s">
        <v>88</v>
      </c>
      <c r="E222" s="51" t="s">
        <v>81</v>
      </c>
      <c r="F222" s="53" t="s">
        <v>80</v>
      </c>
      <c r="G222" s="53">
        <v>5914</v>
      </c>
    </row>
    <row r="223" spans="1:7">
      <c r="A223" s="53">
        <v>87330658</v>
      </c>
      <c r="B223" s="53">
        <v>33</v>
      </c>
      <c r="C223" s="53" t="s">
        <v>83</v>
      </c>
      <c r="D223" s="53" t="s">
        <v>91</v>
      </c>
      <c r="E223" s="51" t="s">
        <v>81</v>
      </c>
      <c r="F223" s="53" t="s">
        <v>89</v>
      </c>
      <c r="G223" s="53">
        <v>2622</v>
      </c>
    </row>
    <row r="224" spans="1:7">
      <c r="A224" s="53">
        <v>85954691</v>
      </c>
      <c r="B224" s="53">
        <v>37</v>
      </c>
      <c r="C224" s="53" t="s">
        <v>83</v>
      </c>
      <c r="D224" s="53" t="s">
        <v>82</v>
      </c>
      <c r="E224" s="51" t="s">
        <v>81</v>
      </c>
      <c r="F224" s="53" t="s">
        <v>80</v>
      </c>
      <c r="G224" s="53">
        <v>12185</v>
      </c>
    </row>
    <row r="225" spans="1:7">
      <c r="A225" s="53">
        <v>89182108</v>
      </c>
      <c r="B225" s="53">
        <v>38</v>
      </c>
      <c r="C225" s="53" t="s">
        <v>85</v>
      </c>
      <c r="D225" s="53" t="s">
        <v>82</v>
      </c>
      <c r="E225" s="51" t="s">
        <v>81</v>
      </c>
      <c r="F225" s="53" t="s">
        <v>80</v>
      </c>
      <c r="G225" s="53">
        <v>10609</v>
      </c>
    </row>
    <row r="226" spans="1:7">
      <c r="A226" s="53">
        <v>85743739</v>
      </c>
      <c r="B226" s="53">
        <v>31</v>
      </c>
      <c r="C226" s="53" t="s">
        <v>83</v>
      </c>
      <c r="D226" s="53" t="s">
        <v>91</v>
      </c>
      <c r="E226" s="51" t="s">
        <v>81</v>
      </c>
      <c r="F226" s="53" t="s">
        <v>80</v>
      </c>
      <c r="G226" s="53">
        <v>4345</v>
      </c>
    </row>
    <row r="227" spans="1:7">
      <c r="A227" s="53">
        <v>87649241</v>
      </c>
      <c r="B227" s="53">
        <v>59</v>
      </c>
      <c r="C227" s="53" t="s">
        <v>83</v>
      </c>
      <c r="D227" s="53" t="s">
        <v>82</v>
      </c>
      <c r="E227" s="51" t="s">
        <v>90</v>
      </c>
      <c r="F227" s="53" t="s">
        <v>80</v>
      </c>
      <c r="G227" s="53">
        <v>2177</v>
      </c>
    </row>
    <row r="228" spans="1:7">
      <c r="A228" s="53">
        <v>87306090</v>
      </c>
      <c r="B228" s="53">
        <v>37</v>
      </c>
      <c r="C228" s="53" t="s">
        <v>85</v>
      </c>
      <c r="D228" s="53" t="s">
        <v>91</v>
      </c>
      <c r="E228" s="51" t="s">
        <v>81</v>
      </c>
      <c r="F228" s="53" t="s">
        <v>80</v>
      </c>
      <c r="G228" s="53">
        <v>2793</v>
      </c>
    </row>
    <row r="229" spans="1:7">
      <c r="A229" s="53">
        <v>82437706</v>
      </c>
      <c r="B229" s="53">
        <v>29</v>
      </c>
      <c r="C229" s="53" t="s">
        <v>85</v>
      </c>
      <c r="D229" s="53" t="s">
        <v>87</v>
      </c>
      <c r="E229" s="51" t="s">
        <v>86</v>
      </c>
      <c r="F229" s="53" t="s">
        <v>89</v>
      </c>
      <c r="G229" s="53">
        <v>7918</v>
      </c>
    </row>
    <row r="230" spans="1:7">
      <c r="A230" s="53">
        <v>82068586</v>
      </c>
      <c r="B230" s="53">
        <v>35</v>
      </c>
      <c r="C230" s="53" t="s">
        <v>85</v>
      </c>
      <c r="D230" s="53" t="s">
        <v>82</v>
      </c>
      <c r="E230" s="51" t="s">
        <v>81</v>
      </c>
      <c r="F230" s="53" t="s">
        <v>89</v>
      </c>
      <c r="G230" s="53">
        <v>8789</v>
      </c>
    </row>
    <row r="231" spans="1:7">
      <c r="A231" s="53">
        <v>83105724</v>
      </c>
      <c r="B231" s="53">
        <v>29</v>
      </c>
      <c r="C231" s="53" t="s">
        <v>83</v>
      </c>
      <c r="D231" s="53" t="s">
        <v>87</v>
      </c>
      <c r="E231" s="51" t="s">
        <v>86</v>
      </c>
      <c r="F231" s="53" t="s">
        <v>80</v>
      </c>
      <c r="G231" s="53">
        <v>2389</v>
      </c>
    </row>
    <row r="232" spans="1:7">
      <c r="A232" s="53">
        <v>85485258</v>
      </c>
      <c r="B232" s="53">
        <v>52</v>
      </c>
      <c r="C232" s="53" t="s">
        <v>83</v>
      </c>
      <c r="D232" s="53" t="s">
        <v>82</v>
      </c>
      <c r="E232" s="51" t="s">
        <v>90</v>
      </c>
      <c r="F232" s="53" t="s">
        <v>89</v>
      </c>
      <c r="G232" s="53">
        <v>3212</v>
      </c>
    </row>
    <row r="233" spans="1:7">
      <c r="A233" s="53">
        <v>82180734</v>
      </c>
      <c r="B233" s="53">
        <v>42</v>
      </c>
      <c r="C233" s="53" t="s">
        <v>83</v>
      </c>
      <c r="D233" s="53" t="s">
        <v>88</v>
      </c>
      <c r="E233" s="51" t="s">
        <v>84</v>
      </c>
      <c r="F233" s="53" t="s">
        <v>80</v>
      </c>
      <c r="G233" s="53">
        <v>19232</v>
      </c>
    </row>
    <row r="234" spans="1:7">
      <c r="A234" s="53">
        <v>83378509</v>
      </c>
      <c r="B234" s="53">
        <v>59</v>
      </c>
      <c r="C234" s="53" t="s">
        <v>93</v>
      </c>
      <c r="D234" s="53" t="s">
        <v>88</v>
      </c>
      <c r="E234" s="51" t="s">
        <v>90</v>
      </c>
      <c r="F234" s="53" t="s">
        <v>80</v>
      </c>
      <c r="G234" s="53">
        <v>2267</v>
      </c>
    </row>
    <row r="235" spans="1:7">
      <c r="A235" s="53">
        <v>80597329</v>
      </c>
      <c r="B235" s="53">
        <v>50</v>
      </c>
      <c r="C235" s="53" t="s">
        <v>85</v>
      </c>
      <c r="D235" s="53" t="s">
        <v>91</v>
      </c>
      <c r="E235" s="51" t="s">
        <v>90</v>
      </c>
      <c r="F235" s="53" t="s">
        <v>89</v>
      </c>
      <c r="G235" s="53">
        <v>19517</v>
      </c>
    </row>
    <row r="236" spans="1:7">
      <c r="A236" s="53">
        <v>86842654</v>
      </c>
      <c r="B236" s="53">
        <v>33</v>
      </c>
      <c r="C236" s="53" t="s">
        <v>96</v>
      </c>
      <c r="D236" s="53" t="s">
        <v>82</v>
      </c>
      <c r="E236" s="51" t="s">
        <v>81</v>
      </c>
      <c r="F236" s="53" t="s">
        <v>80</v>
      </c>
      <c r="G236" s="53">
        <v>2436</v>
      </c>
    </row>
    <row r="237" spans="1:7">
      <c r="A237" s="53">
        <v>83291500</v>
      </c>
      <c r="B237" s="53">
        <v>43</v>
      </c>
      <c r="C237" s="53" t="s">
        <v>85</v>
      </c>
      <c r="D237" s="53" t="s">
        <v>82</v>
      </c>
      <c r="E237" s="51" t="s">
        <v>84</v>
      </c>
      <c r="F237" s="53" t="s">
        <v>89</v>
      </c>
      <c r="G237" s="53">
        <v>16064</v>
      </c>
    </row>
    <row r="238" spans="1:7">
      <c r="A238" s="53">
        <v>84059914</v>
      </c>
      <c r="B238" s="53">
        <v>33</v>
      </c>
      <c r="C238" s="53" t="s">
        <v>96</v>
      </c>
      <c r="D238" s="53" t="s">
        <v>88</v>
      </c>
      <c r="E238" s="51" t="s">
        <v>81</v>
      </c>
      <c r="F238" s="53" t="s">
        <v>89</v>
      </c>
      <c r="G238" s="53">
        <v>2707</v>
      </c>
    </row>
    <row r="239" spans="1:7">
      <c r="A239" s="53">
        <v>88066159</v>
      </c>
      <c r="B239" s="53">
        <v>52</v>
      </c>
      <c r="C239" s="53" t="s">
        <v>85</v>
      </c>
      <c r="D239" s="53" t="s">
        <v>91</v>
      </c>
      <c r="E239" s="51" t="s">
        <v>90</v>
      </c>
      <c r="F239" s="53" t="s">
        <v>80</v>
      </c>
      <c r="G239" s="53">
        <v>19068</v>
      </c>
    </row>
    <row r="240" spans="1:7">
      <c r="A240" s="53">
        <v>84816095</v>
      </c>
      <c r="B240" s="53">
        <v>32</v>
      </c>
      <c r="C240" s="53" t="s">
        <v>85</v>
      </c>
      <c r="D240" s="53" t="s">
        <v>88</v>
      </c>
      <c r="E240" s="51" t="s">
        <v>81</v>
      </c>
      <c r="F240" s="53" t="s">
        <v>89</v>
      </c>
      <c r="G240" s="53">
        <v>3931</v>
      </c>
    </row>
    <row r="241" spans="1:7">
      <c r="A241" s="53">
        <v>85911545</v>
      </c>
      <c r="B241" s="53">
        <v>32</v>
      </c>
      <c r="C241" s="53" t="s">
        <v>96</v>
      </c>
      <c r="D241" s="53" t="s">
        <v>82</v>
      </c>
      <c r="E241" s="51" t="s">
        <v>81</v>
      </c>
      <c r="F241" s="53" t="s">
        <v>80</v>
      </c>
      <c r="G241" s="53">
        <v>3730</v>
      </c>
    </row>
    <row r="242" spans="1:7">
      <c r="A242" s="53">
        <v>81506012</v>
      </c>
      <c r="B242" s="53">
        <v>39</v>
      </c>
      <c r="C242" s="53" t="s">
        <v>83</v>
      </c>
      <c r="D242" s="53" t="s">
        <v>91</v>
      </c>
      <c r="E242" s="51" t="s">
        <v>81</v>
      </c>
      <c r="F242" s="53" t="s">
        <v>89</v>
      </c>
      <c r="G242" s="53">
        <v>2232</v>
      </c>
    </row>
    <row r="243" spans="1:7">
      <c r="A243" s="53">
        <v>89559113</v>
      </c>
      <c r="B243" s="53">
        <v>32</v>
      </c>
      <c r="C243" s="53" t="s">
        <v>85</v>
      </c>
      <c r="D243" s="53" t="s">
        <v>91</v>
      </c>
      <c r="E243" s="51" t="s">
        <v>81</v>
      </c>
      <c r="F243" s="53" t="s">
        <v>80</v>
      </c>
      <c r="G243" s="53">
        <v>4465</v>
      </c>
    </row>
    <row r="244" spans="1:7">
      <c r="A244" s="53">
        <v>80816447</v>
      </c>
      <c r="B244" s="53">
        <v>41</v>
      </c>
      <c r="C244" s="53" t="s">
        <v>83</v>
      </c>
      <c r="D244" s="53" t="s">
        <v>88</v>
      </c>
      <c r="E244" s="51" t="s">
        <v>84</v>
      </c>
      <c r="F244" s="53" t="s">
        <v>80</v>
      </c>
      <c r="G244" s="53">
        <v>3072</v>
      </c>
    </row>
    <row r="245" spans="1:7">
      <c r="A245" s="53">
        <v>84776838</v>
      </c>
      <c r="B245" s="53">
        <v>40</v>
      </c>
      <c r="C245" s="53" t="s">
        <v>83</v>
      </c>
      <c r="D245" s="53" t="s">
        <v>88</v>
      </c>
      <c r="E245" s="51" t="s">
        <v>84</v>
      </c>
      <c r="F245" s="53" t="s">
        <v>80</v>
      </c>
      <c r="G245" s="53">
        <v>3319</v>
      </c>
    </row>
    <row r="246" spans="1:7">
      <c r="A246" s="53">
        <v>89304752</v>
      </c>
      <c r="B246" s="53">
        <v>45</v>
      </c>
      <c r="C246" s="53" t="s">
        <v>96</v>
      </c>
      <c r="D246" s="53" t="s">
        <v>82</v>
      </c>
      <c r="E246" s="51" t="s">
        <v>84</v>
      </c>
      <c r="F246" s="53" t="s">
        <v>80</v>
      </c>
      <c r="G246" s="53">
        <v>19202</v>
      </c>
    </row>
    <row r="247" spans="1:7">
      <c r="A247" s="53">
        <v>82803009</v>
      </c>
      <c r="B247" s="53">
        <v>31</v>
      </c>
      <c r="C247" s="53" t="s">
        <v>83</v>
      </c>
      <c r="D247" s="53" t="s">
        <v>91</v>
      </c>
      <c r="E247" s="51" t="s">
        <v>81</v>
      </c>
      <c r="F247" s="53" t="s">
        <v>80</v>
      </c>
      <c r="G247" s="53">
        <v>13675</v>
      </c>
    </row>
    <row r="248" spans="1:7">
      <c r="A248" s="53">
        <v>84661020</v>
      </c>
      <c r="B248" s="53">
        <v>33</v>
      </c>
      <c r="C248" s="53" t="s">
        <v>83</v>
      </c>
      <c r="D248" s="53" t="s">
        <v>91</v>
      </c>
      <c r="E248" s="51" t="s">
        <v>81</v>
      </c>
      <c r="F248" s="53" t="s">
        <v>89</v>
      </c>
      <c r="G248" s="53">
        <v>2911</v>
      </c>
    </row>
    <row r="249" spans="1:7">
      <c r="A249" s="53">
        <v>89840995</v>
      </c>
      <c r="B249" s="53">
        <v>34</v>
      </c>
      <c r="C249" s="53" t="s">
        <v>83</v>
      </c>
      <c r="D249" s="53" t="s">
        <v>91</v>
      </c>
      <c r="E249" s="51" t="s">
        <v>81</v>
      </c>
      <c r="F249" s="53" t="s">
        <v>80</v>
      </c>
      <c r="G249" s="53">
        <v>5957</v>
      </c>
    </row>
    <row r="250" spans="1:7">
      <c r="A250" s="53">
        <v>83315521</v>
      </c>
      <c r="B250" s="53">
        <v>37</v>
      </c>
      <c r="C250" s="53" t="s">
        <v>96</v>
      </c>
      <c r="D250" s="53" t="s">
        <v>88</v>
      </c>
      <c r="E250" s="51" t="s">
        <v>81</v>
      </c>
      <c r="F250" s="53" t="s">
        <v>89</v>
      </c>
      <c r="G250" s="53">
        <v>3920</v>
      </c>
    </row>
    <row r="251" spans="1:7">
      <c r="A251" s="53">
        <v>87456805</v>
      </c>
      <c r="B251" s="53">
        <v>45</v>
      </c>
      <c r="C251" s="53" t="s">
        <v>83</v>
      </c>
      <c r="D251" s="53" t="s">
        <v>91</v>
      </c>
      <c r="E251" s="51" t="s">
        <v>84</v>
      </c>
      <c r="F251" s="53" t="s">
        <v>80</v>
      </c>
      <c r="G251" s="53">
        <v>6434</v>
      </c>
    </row>
    <row r="252" spans="1:7">
      <c r="A252" s="53">
        <v>84098388</v>
      </c>
      <c r="B252" s="53">
        <v>37</v>
      </c>
      <c r="C252" s="53" t="s">
        <v>83</v>
      </c>
      <c r="D252" s="53" t="s">
        <v>82</v>
      </c>
      <c r="E252" s="51" t="s">
        <v>81</v>
      </c>
      <c r="F252" s="53" t="s">
        <v>80</v>
      </c>
      <c r="G252" s="53">
        <v>10048</v>
      </c>
    </row>
    <row r="253" spans="1:7">
      <c r="A253" s="53">
        <v>82809725</v>
      </c>
      <c r="B253" s="53">
        <v>39</v>
      </c>
      <c r="C253" s="53" t="s">
        <v>83</v>
      </c>
      <c r="D253" s="53" t="s">
        <v>91</v>
      </c>
      <c r="E253" s="51" t="s">
        <v>81</v>
      </c>
      <c r="F253" s="53" t="s">
        <v>89</v>
      </c>
      <c r="G253" s="53">
        <v>10938</v>
      </c>
    </row>
    <row r="254" spans="1:7">
      <c r="A254" s="53">
        <v>89105470</v>
      </c>
      <c r="B254" s="53">
        <v>29</v>
      </c>
      <c r="C254" s="53" t="s">
        <v>83</v>
      </c>
      <c r="D254" s="53" t="s">
        <v>82</v>
      </c>
      <c r="E254" s="51" t="s">
        <v>86</v>
      </c>
      <c r="F254" s="53" t="s">
        <v>80</v>
      </c>
      <c r="G254" s="53">
        <v>2340</v>
      </c>
    </row>
    <row r="255" spans="1:7">
      <c r="A255" s="53">
        <v>84343603</v>
      </c>
      <c r="B255" s="53">
        <v>42</v>
      </c>
      <c r="C255" s="53" t="s">
        <v>83</v>
      </c>
      <c r="D255" s="53" t="s">
        <v>88</v>
      </c>
      <c r="E255" s="51" t="s">
        <v>84</v>
      </c>
      <c r="F255" s="53" t="s">
        <v>89</v>
      </c>
      <c r="G255" s="53">
        <v>6545</v>
      </c>
    </row>
    <row r="256" spans="1:7">
      <c r="A256" s="53">
        <v>89127426</v>
      </c>
      <c r="B256" s="53">
        <v>29</v>
      </c>
      <c r="C256" s="53" t="s">
        <v>85</v>
      </c>
      <c r="D256" s="53" t="s">
        <v>88</v>
      </c>
      <c r="E256" s="51" t="s">
        <v>86</v>
      </c>
      <c r="F256" s="53" t="s">
        <v>80</v>
      </c>
      <c r="G256" s="53">
        <v>6931</v>
      </c>
    </row>
    <row r="257" spans="1:7">
      <c r="A257" s="53">
        <v>87704208</v>
      </c>
      <c r="B257" s="53">
        <v>25</v>
      </c>
      <c r="C257" s="53" t="s">
        <v>83</v>
      </c>
      <c r="D257" s="53" t="s">
        <v>82</v>
      </c>
      <c r="E257" s="51" t="s">
        <v>86</v>
      </c>
      <c r="F257" s="53" t="s">
        <v>89</v>
      </c>
      <c r="G257" s="53">
        <v>4898</v>
      </c>
    </row>
    <row r="258" spans="1:7">
      <c r="A258" s="53">
        <v>85603112</v>
      </c>
      <c r="B258" s="53">
        <v>42</v>
      </c>
      <c r="C258" s="53" t="s">
        <v>96</v>
      </c>
      <c r="D258" s="53" t="s">
        <v>82</v>
      </c>
      <c r="E258" s="51" t="s">
        <v>84</v>
      </c>
      <c r="F258" s="53" t="s">
        <v>89</v>
      </c>
      <c r="G258" s="53">
        <v>2593</v>
      </c>
    </row>
    <row r="259" spans="1:7">
      <c r="A259" s="53">
        <v>81273534</v>
      </c>
      <c r="B259" s="53">
        <v>40</v>
      </c>
      <c r="C259" s="53" t="s">
        <v>83</v>
      </c>
      <c r="D259" s="53" t="s">
        <v>88</v>
      </c>
      <c r="E259" s="51" t="s">
        <v>84</v>
      </c>
      <c r="F259" s="53" t="s">
        <v>80</v>
      </c>
      <c r="G259" s="53">
        <v>19436</v>
      </c>
    </row>
    <row r="260" spans="1:7">
      <c r="A260" s="53">
        <v>85945501</v>
      </c>
      <c r="B260" s="53">
        <v>51</v>
      </c>
      <c r="C260" s="53" t="s">
        <v>83</v>
      </c>
      <c r="D260" s="53" t="s">
        <v>82</v>
      </c>
      <c r="E260" s="51" t="s">
        <v>90</v>
      </c>
      <c r="F260" s="53" t="s">
        <v>80</v>
      </c>
      <c r="G260" s="53">
        <v>2723</v>
      </c>
    </row>
    <row r="261" spans="1:7">
      <c r="A261" s="53">
        <v>82738382</v>
      </c>
      <c r="B261" s="53">
        <v>31</v>
      </c>
      <c r="C261" s="53" t="s">
        <v>83</v>
      </c>
      <c r="D261" s="53" t="s">
        <v>88</v>
      </c>
      <c r="E261" s="51" t="s">
        <v>81</v>
      </c>
      <c r="F261" s="53" t="s">
        <v>80</v>
      </c>
      <c r="G261" s="53">
        <v>3479</v>
      </c>
    </row>
    <row r="262" spans="1:7">
      <c r="A262" s="53">
        <v>89882272</v>
      </c>
      <c r="B262" s="53">
        <v>32</v>
      </c>
      <c r="C262" s="53" t="s">
        <v>96</v>
      </c>
      <c r="D262" s="53" t="s">
        <v>82</v>
      </c>
      <c r="E262" s="51" t="s">
        <v>81</v>
      </c>
      <c r="F262" s="53" t="s">
        <v>80</v>
      </c>
      <c r="G262" s="53">
        <v>2794</v>
      </c>
    </row>
    <row r="263" spans="1:7">
      <c r="A263" s="53">
        <v>86874887</v>
      </c>
      <c r="B263" s="53">
        <v>38</v>
      </c>
      <c r="C263" s="53" t="s">
        <v>85</v>
      </c>
      <c r="D263" s="53" t="s">
        <v>88</v>
      </c>
      <c r="E263" s="51" t="s">
        <v>81</v>
      </c>
      <c r="F263" s="53" t="s">
        <v>80</v>
      </c>
      <c r="G263" s="53">
        <v>5249</v>
      </c>
    </row>
    <row r="264" spans="1:7">
      <c r="A264" s="53">
        <v>80254246</v>
      </c>
      <c r="B264" s="53">
        <v>32</v>
      </c>
      <c r="C264" s="53" t="s">
        <v>83</v>
      </c>
      <c r="D264" s="53" t="s">
        <v>87</v>
      </c>
      <c r="E264" s="51" t="s">
        <v>81</v>
      </c>
      <c r="F264" s="53" t="s">
        <v>80</v>
      </c>
      <c r="G264" s="53">
        <v>2176</v>
      </c>
    </row>
    <row r="265" spans="1:7">
      <c r="A265" s="53">
        <v>88223833</v>
      </c>
      <c r="B265" s="53">
        <v>46</v>
      </c>
      <c r="C265" s="53" t="s">
        <v>85</v>
      </c>
      <c r="D265" s="53" t="s">
        <v>82</v>
      </c>
      <c r="E265" s="51" t="s">
        <v>84</v>
      </c>
      <c r="F265" s="53" t="s">
        <v>89</v>
      </c>
      <c r="G265" s="53">
        <v>16872</v>
      </c>
    </row>
    <row r="266" spans="1:7">
      <c r="A266" s="53">
        <v>82980157</v>
      </c>
      <c r="B266" s="53">
        <v>28</v>
      </c>
      <c r="C266" s="53" t="s">
        <v>96</v>
      </c>
      <c r="D266" s="53" t="s">
        <v>91</v>
      </c>
      <c r="E266" s="51" t="s">
        <v>86</v>
      </c>
      <c r="F266" s="53" t="s">
        <v>80</v>
      </c>
      <c r="G266" s="53">
        <v>3485</v>
      </c>
    </row>
    <row r="267" spans="1:7">
      <c r="A267" s="53">
        <v>85304561</v>
      </c>
      <c r="B267" s="53">
        <v>29</v>
      </c>
      <c r="C267" s="53" t="s">
        <v>85</v>
      </c>
      <c r="D267" s="53" t="s">
        <v>82</v>
      </c>
      <c r="E267" s="51" t="s">
        <v>86</v>
      </c>
      <c r="F267" s="53" t="s">
        <v>80</v>
      </c>
      <c r="G267" s="53">
        <v>6644</v>
      </c>
    </row>
    <row r="268" spans="1:7">
      <c r="A268" s="53">
        <v>88127628</v>
      </c>
      <c r="B268" s="53">
        <v>31</v>
      </c>
      <c r="C268" s="53" t="s">
        <v>83</v>
      </c>
      <c r="D268" s="53" t="s">
        <v>82</v>
      </c>
      <c r="E268" s="51" t="s">
        <v>81</v>
      </c>
      <c r="F268" s="53" t="s">
        <v>80</v>
      </c>
      <c r="G268" s="53">
        <v>5582</v>
      </c>
    </row>
    <row r="269" spans="1:7">
      <c r="A269" s="53">
        <v>81889994</v>
      </c>
      <c r="B269" s="53">
        <v>25</v>
      </c>
      <c r="C269" s="53" t="s">
        <v>83</v>
      </c>
      <c r="D269" s="53" t="s">
        <v>88</v>
      </c>
      <c r="E269" s="51" t="s">
        <v>86</v>
      </c>
      <c r="F269" s="53" t="s">
        <v>80</v>
      </c>
      <c r="G269" s="53">
        <v>4000</v>
      </c>
    </row>
    <row r="270" spans="1:7">
      <c r="A270" s="53">
        <v>82929958</v>
      </c>
      <c r="B270" s="53">
        <v>45</v>
      </c>
      <c r="C270" s="53" t="s">
        <v>83</v>
      </c>
      <c r="D270" s="53" t="s">
        <v>88</v>
      </c>
      <c r="E270" s="51" t="s">
        <v>84</v>
      </c>
      <c r="F270" s="53" t="s">
        <v>80</v>
      </c>
      <c r="G270" s="53">
        <v>13496</v>
      </c>
    </row>
    <row r="271" spans="1:7">
      <c r="A271" s="53">
        <v>85260232</v>
      </c>
      <c r="B271" s="53">
        <v>36</v>
      </c>
      <c r="C271" s="53" t="s">
        <v>83</v>
      </c>
      <c r="D271" s="53" t="s">
        <v>82</v>
      </c>
      <c r="E271" s="51" t="s">
        <v>81</v>
      </c>
      <c r="F271" s="53" t="s">
        <v>80</v>
      </c>
      <c r="G271" s="53">
        <v>3210</v>
      </c>
    </row>
    <row r="272" spans="1:7">
      <c r="A272" s="53">
        <v>84151596</v>
      </c>
      <c r="B272" s="53">
        <v>55</v>
      </c>
      <c r="C272" s="53" t="s">
        <v>83</v>
      </c>
      <c r="D272" s="53" t="s">
        <v>82</v>
      </c>
      <c r="E272" s="51" t="s">
        <v>90</v>
      </c>
      <c r="F272" s="53" t="s">
        <v>80</v>
      </c>
      <c r="G272" s="53">
        <v>19045</v>
      </c>
    </row>
    <row r="273" spans="1:7">
      <c r="A273" s="53">
        <v>86398474</v>
      </c>
      <c r="B273" s="53">
        <v>47</v>
      </c>
      <c r="C273" s="53" t="s">
        <v>83</v>
      </c>
      <c r="D273" s="53" t="s">
        <v>91</v>
      </c>
      <c r="E273" s="51" t="s">
        <v>84</v>
      </c>
      <c r="F273" s="53" t="s">
        <v>80</v>
      </c>
      <c r="G273" s="53">
        <v>11849</v>
      </c>
    </row>
    <row r="274" spans="1:7">
      <c r="A274" s="53">
        <v>86759411</v>
      </c>
      <c r="B274" s="53">
        <v>28</v>
      </c>
      <c r="C274" s="53" t="s">
        <v>96</v>
      </c>
      <c r="D274" s="53" t="s">
        <v>82</v>
      </c>
      <c r="E274" s="51" t="s">
        <v>86</v>
      </c>
      <c r="F274" s="53" t="s">
        <v>80</v>
      </c>
      <c r="G274" s="53">
        <v>2070</v>
      </c>
    </row>
    <row r="275" spans="1:7">
      <c r="A275" s="53">
        <v>81424352</v>
      </c>
      <c r="B275" s="53">
        <v>37</v>
      </c>
      <c r="C275" s="53" t="s">
        <v>85</v>
      </c>
      <c r="D275" s="53" t="s">
        <v>91</v>
      </c>
      <c r="E275" s="51" t="s">
        <v>81</v>
      </c>
      <c r="F275" s="53" t="s">
        <v>80</v>
      </c>
      <c r="G275" s="53">
        <v>6502</v>
      </c>
    </row>
    <row r="276" spans="1:7">
      <c r="A276" s="53">
        <v>86746353</v>
      </c>
      <c r="B276" s="53">
        <v>21</v>
      </c>
      <c r="C276" s="53" t="s">
        <v>83</v>
      </c>
      <c r="D276" s="53" t="s">
        <v>88</v>
      </c>
      <c r="E276" s="51" t="s">
        <v>86</v>
      </c>
      <c r="F276" s="53" t="s">
        <v>80</v>
      </c>
      <c r="G276" s="53">
        <v>3230</v>
      </c>
    </row>
    <row r="277" spans="1:7">
      <c r="A277" s="53">
        <v>83835578</v>
      </c>
      <c r="B277" s="53">
        <v>37</v>
      </c>
      <c r="C277" s="53" t="s">
        <v>83</v>
      </c>
      <c r="D277" s="53" t="s">
        <v>91</v>
      </c>
      <c r="E277" s="51" t="s">
        <v>81</v>
      </c>
      <c r="F277" s="53" t="s">
        <v>89</v>
      </c>
      <c r="G277" s="53">
        <v>13603</v>
      </c>
    </row>
    <row r="278" spans="1:7">
      <c r="A278" s="53">
        <v>88835681</v>
      </c>
      <c r="B278" s="53">
        <v>35</v>
      </c>
      <c r="C278" s="53" t="s">
        <v>96</v>
      </c>
      <c r="D278" s="53" t="s">
        <v>82</v>
      </c>
      <c r="E278" s="51" t="s">
        <v>81</v>
      </c>
      <c r="F278" s="53" t="s">
        <v>89</v>
      </c>
      <c r="G278" s="53">
        <v>11996</v>
      </c>
    </row>
    <row r="279" spans="1:7">
      <c r="A279" s="53">
        <v>81542337</v>
      </c>
      <c r="B279" s="53">
        <v>38</v>
      </c>
      <c r="C279" s="53" t="s">
        <v>85</v>
      </c>
      <c r="D279" s="53" t="s">
        <v>88</v>
      </c>
      <c r="E279" s="51" t="s">
        <v>81</v>
      </c>
      <c r="F279" s="53" t="s">
        <v>89</v>
      </c>
      <c r="G279" s="53">
        <v>5605</v>
      </c>
    </row>
    <row r="280" spans="1:7">
      <c r="A280" s="53">
        <v>83792813</v>
      </c>
      <c r="B280" s="53">
        <v>26</v>
      </c>
      <c r="C280" s="53" t="s">
        <v>83</v>
      </c>
      <c r="D280" s="53" t="s">
        <v>82</v>
      </c>
      <c r="E280" s="51" t="s">
        <v>86</v>
      </c>
      <c r="F280" s="53" t="s">
        <v>89</v>
      </c>
      <c r="G280" s="53">
        <v>6397</v>
      </c>
    </row>
    <row r="281" spans="1:7">
      <c r="A281" s="53">
        <v>86937678</v>
      </c>
      <c r="B281" s="53">
        <v>50</v>
      </c>
      <c r="C281" s="53" t="s">
        <v>83</v>
      </c>
      <c r="D281" s="53" t="s">
        <v>87</v>
      </c>
      <c r="E281" s="51" t="s">
        <v>90</v>
      </c>
      <c r="F281" s="53" t="s">
        <v>80</v>
      </c>
      <c r="G281" s="53">
        <v>19144</v>
      </c>
    </row>
    <row r="282" spans="1:7">
      <c r="A282" s="53">
        <v>88758351</v>
      </c>
      <c r="B282" s="53">
        <v>53</v>
      </c>
      <c r="C282" s="53" t="s">
        <v>83</v>
      </c>
      <c r="D282" s="53" t="s">
        <v>91</v>
      </c>
      <c r="E282" s="51" t="s">
        <v>90</v>
      </c>
      <c r="F282" s="53" t="s">
        <v>80</v>
      </c>
      <c r="G282" s="53">
        <v>17584</v>
      </c>
    </row>
    <row r="283" spans="1:7">
      <c r="A283" s="53">
        <v>80012464</v>
      </c>
      <c r="B283" s="53">
        <v>42</v>
      </c>
      <c r="C283" s="53" t="s">
        <v>85</v>
      </c>
      <c r="D283" s="53" t="s">
        <v>87</v>
      </c>
      <c r="E283" s="51" t="s">
        <v>84</v>
      </c>
      <c r="F283" s="53" t="s">
        <v>80</v>
      </c>
      <c r="G283" s="53">
        <v>4907</v>
      </c>
    </row>
    <row r="284" spans="1:7">
      <c r="A284" s="53">
        <v>86355511</v>
      </c>
      <c r="B284" s="53">
        <v>29</v>
      </c>
      <c r="C284" s="53" t="s">
        <v>85</v>
      </c>
      <c r="D284" s="53" t="s">
        <v>88</v>
      </c>
      <c r="E284" s="51" t="s">
        <v>86</v>
      </c>
      <c r="F284" s="53" t="s">
        <v>80</v>
      </c>
      <c r="G284" s="53">
        <v>4554</v>
      </c>
    </row>
    <row r="285" spans="1:7">
      <c r="A285" s="53">
        <v>83218804</v>
      </c>
      <c r="B285" s="53">
        <v>55</v>
      </c>
      <c r="C285" s="53" t="s">
        <v>83</v>
      </c>
      <c r="D285" s="53" t="s">
        <v>88</v>
      </c>
      <c r="E285" s="51" t="s">
        <v>90</v>
      </c>
      <c r="F285" s="53" t="s">
        <v>80</v>
      </c>
      <c r="G285" s="53">
        <v>5415</v>
      </c>
    </row>
    <row r="286" spans="1:7">
      <c r="A286" s="53">
        <v>89892711</v>
      </c>
      <c r="B286" s="53">
        <v>26</v>
      </c>
      <c r="C286" s="53" t="s">
        <v>83</v>
      </c>
      <c r="D286" s="53" t="s">
        <v>88</v>
      </c>
      <c r="E286" s="51" t="s">
        <v>86</v>
      </c>
      <c r="F286" s="53" t="s">
        <v>80</v>
      </c>
      <c r="G286" s="53">
        <v>4741</v>
      </c>
    </row>
    <row r="287" spans="1:7">
      <c r="A287" s="53">
        <v>88988985</v>
      </c>
      <c r="B287" s="53">
        <v>37</v>
      </c>
      <c r="C287" s="53" t="s">
        <v>83</v>
      </c>
      <c r="D287" s="53" t="s">
        <v>82</v>
      </c>
      <c r="E287" s="51" t="s">
        <v>81</v>
      </c>
      <c r="F287" s="53" t="s">
        <v>89</v>
      </c>
      <c r="G287" s="53">
        <v>2115</v>
      </c>
    </row>
    <row r="288" spans="1:7">
      <c r="A288" s="53">
        <v>85005844</v>
      </c>
      <c r="B288" s="53">
        <v>44</v>
      </c>
      <c r="C288" s="53" t="s">
        <v>83</v>
      </c>
      <c r="D288" s="53" t="s">
        <v>82</v>
      </c>
      <c r="E288" s="51" t="s">
        <v>84</v>
      </c>
      <c r="F288" s="53" t="s">
        <v>80</v>
      </c>
      <c r="G288" s="53">
        <v>3161</v>
      </c>
    </row>
    <row r="289" spans="1:7">
      <c r="A289" s="53">
        <v>82129537</v>
      </c>
      <c r="B289" s="53">
        <v>38</v>
      </c>
      <c r="C289" s="53" t="s">
        <v>83</v>
      </c>
      <c r="D289" s="53" t="s">
        <v>91</v>
      </c>
      <c r="E289" s="51" t="s">
        <v>81</v>
      </c>
      <c r="F289" s="53" t="s">
        <v>80</v>
      </c>
      <c r="G289" s="53">
        <v>5745</v>
      </c>
    </row>
    <row r="290" spans="1:7">
      <c r="A290" s="53">
        <v>80034867</v>
      </c>
      <c r="B290" s="53">
        <v>26</v>
      </c>
      <c r="C290" s="53" t="s">
        <v>83</v>
      </c>
      <c r="D290" s="53" t="s">
        <v>91</v>
      </c>
      <c r="E290" s="51" t="s">
        <v>86</v>
      </c>
      <c r="F290" s="53" t="s">
        <v>80</v>
      </c>
      <c r="G290" s="53">
        <v>2373</v>
      </c>
    </row>
    <row r="291" spans="1:7">
      <c r="A291" s="53">
        <v>85750680</v>
      </c>
      <c r="B291" s="53">
        <v>28</v>
      </c>
      <c r="C291" s="53" t="s">
        <v>83</v>
      </c>
      <c r="D291" s="53" t="s">
        <v>88</v>
      </c>
      <c r="E291" s="51" t="s">
        <v>86</v>
      </c>
      <c r="F291" s="53" t="s">
        <v>89</v>
      </c>
      <c r="G291" s="53">
        <v>3310</v>
      </c>
    </row>
    <row r="292" spans="1:7">
      <c r="A292" s="53">
        <v>82981638</v>
      </c>
      <c r="B292" s="53">
        <v>49</v>
      </c>
      <c r="C292" s="53" t="s">
        <v>83</v>
      </c>
      <c r="D292" s="53" t="s">
        <v>91</v>
      </c>
      <c r="E292" s="51" t="s">
        <v>84</v>
      </c>
      <c r="F292" s="53" t="s">
        <v>89</v>
      </c>
      <c r="G292" s="53">
        <v>18665</v>
      </c>
    </row>
    <row r="293" spans="1:7">
      <c r="A293" s="53">
        <v>85982181</v>
      </c>
      <c r="B293" s="53">
        <v>36</v>
      </c>
      <c r="C293" s="53" t="s">
        <v>83</v>
      </c>
      <c r="D293" s="53" t="s">
        <v>82</v>
      </c>
      <c r="E293" s="51" t="s">
        <v>81</v>
      </c>
      <c r="F293" s="53" t="s">
        <v>80</v>
      </c>
      <c r="G293" s="53">
        <v>4485</v>
      </c>
    </row>
    <row r="294" spans="1:7">
      <c r="A294" s="53">
        <v>88175437</v>
      </c>
      <c r="B294" s="53">
        <v>31</v>
      </c>
      <c r="C294" s="53" t="s">
        <v>85</v>
      </c>
      <c r="D294" s="53" t="s">
        <v>82</v>
      </c>
      <c r="E294" s="51" t="s">
        <v>81</v>
      </c>
      <c r="F294" s="53" t="s">
        <v>89</v>
      </c>
      <c r="G294" s="53">
        <v>2789</v>
      </c>
    </row>
    <row r="295" spans="1:7">
      <c r="A295" s="53">
        <v>88490642</v>
      </c>
      <c r="B295" s="53">
        <v>26</v>
      </c>
      <c r="C295" s="53" t="s">
        <v>85</v>
      </c>
      <c r="D295" s="53" t="s">
        <v>91</v>
      </c>
      <c r="E295" s="51" t="s">
        <v>86</v>
      </c>
      <c r="F295" s="53" t="s">
        <v>80</v>
      </c>
      <c r="G295" s="53">
        <v>5828</v>
      </c>
    </row>
    <row r="296" spans="1:7">
      <c r="A296" s="53">
        <v>89078354</v>
      </c>
      <c r="B296" s="53">
        <v>37</v>
      </c>
      <c r="C296" s="53" t="s">
        <v>83</v>
      </c>
      <c r="D296" s="53" t="s">
        <v>82</v>
      </c>
      <c r="E296" s="51" t="s">
        <v>81</v>
      </c>
      <c r="F296" s="53" t="s">
        <v>80</v>
      </c>
      <c r="G296" s="53">
        <v>2326</v>
      </c>
    </row>
    <row r="297" spans="1:7">
      <c r="A297" s="53">
        <v>81124022</v>
      </c>
      <c r="B297" s="53">
        <v>42</v>
      </c>
      <c r="C297" s="53" t="s">
        <v>85</v>
      </c>
      <c r="D297" s="53" t="s">
        <v>82</v>
      </c>
      <c r="E297" s="51" t="s">
        <v>84</v>
      </c>
      <c r="F297" s="53" t="s">
        <v>89</v>
      </c>
      <c r="G297" s="53">
        <v>13525</v>
      </c>
    </row>
    <row r="298" spans="1:7">
      <c r="A298" s="53">
        <v>84977992</v>
      </c>
      <c r="B298" s="53">
        <v>25</v>
      </c>
      <c r="C298" s="53" t="s">
        <v>83</v>
      </c>
      <c r="D298" s="53" t="s">
        <v>82</v>
      </c>
      <c r="E298" s="51" t="s">
        <v>95</v>
      </c>
      <c r="F298" s="53" t="s">
        <v>80</v>
      </c>
      <c r="G298" s="53">
        <v>1420</v>
      </c>
    </row>
    <row r="299" spans="1:7">
      <c r="A299" s="53">
        <v>88373875</v>
      </c>
      <c r="B299" s="53">
        <v>35</v>
      </c>
      <c r="C299" s="53" t="s">
        <v>85</v>
      </c>
      <c r="D299" s="53" t="s">
        <v>82</v>
      </c>
      <c r="E299" s="51" t="s">
        <v>81</v>
      </c>
      <c r="F299" s="53" t="s">
        <v>80</v>
      </c>
      <c r="G299" s="53">
        <v>8020</v>
      </c>
    </row>
    <row r="300" spans="1:7">
      <c r="A300" s="53">
        <v>85252534</v>
      </c>
      <c r="B300" s="53">
        <v>36</v>
      </c>
      <c r="C300" s="53" t="s">
        <v>83</v>
      </c>
      <c r="D300" s="53" t="s">
        <v>91</v>
      </c>
      <c r="E300" s="51" t="s">
        <v>81</v>
      </c>
      <c r="F300" s="53" t="s">
        <v>80</v>
      </c>
      <c r="G300" s="53">
        <v>3688</v>
      </c>
    </row>
    <row r="301" spans="1:7">
      <c r="A301" s="53">
        <v>87451915</v>
      </c>
      <c r="B301" s="53">
        <v>51</v>
      </c>
      <c r="C301" s="53" t="s">
        <v>83</v>
      </c>
      <c r="D301" s="53" t="s">
        <v>82</v>
      </c>
      <c r="E301" s="51" t="s">
        <v>90</v>
      </c>
      <c r="F301" s="53" t="s">
        <v>80</v>
      </c>
      <c r="G301" s="53">
        <v>5482</v>
      </c>
    </row>
    <row r="302" spans="1:7">
      <c r="A302" s="53">
        <v>89257491</v>
      </c>
      <c r="B302" s="53">
        <v>41</v>
      </c>
      <c r="C302" s="53" t="s">
        <v>85</v>
      </c>
      <c r="D302" s="53" t="s">
        <v>91</v>
      </c>
      <c r="E302" s="51" t="s">
        <v>84</v>
      </c>
      <c r="F302" s="53" t="s">
        <v>80</v>
      </c>
      <c r="G302" s="53">
        <v>16015</v>
      </c>
    </row>
    <row r="303" spans="1:7">
      <c r="A303" s="53">
        <v>81926089</v>
      </c>
      <c r="B303" s="53">
        <v>25</v>
      </c>
      <c r="C303" s="53" t="s">
        <v>85</v>
      </c>
      <c r="D303" s="53" t="s">
        <v>82</v>
      </c>
      <c r="E303" s="51" t="s">
        <v>95</v>
      </c>
      <c r="F303" s="53" t="s">
        <v>89</v>
      </c>
      <c r="G303" s="53">
        <v>1200</v>
      </c>
    </row>
    <row r="304" spans="1:7">
      <c r="A304" s="53">
        <v>84341316</v>
      </c>
      <c r="B304" s="53">
        <v>28</v>
      </c>
      <c r="C304" s="53" t="s">
        <v>83</v>
      </c>
      <c r="D304" s="53" t="s">
        <v>88</v>
      </c>
      <c r="E304" s="51" t="s">
        <v>86</v>
      </c>
      <c r="F304" s="53" t="s">
        <v>80</v>
      </c>
      <c r="G304" s="53">
        <v>5661</v>
      </c>
    </row>
    <row r="305" spans="1:7">
      <c r="A305" s="53">
        <v>84872194</v>
      </c>
      <c r="B305" s="53">
        <v>31</v>
      </c>
      <c r="C305" s="53" t="s">
        <v>85</v>
      </c>
      <c r="D305" s="53" t="s">
        <v>82</v>
      </c>
      <c r="E305" s="51" t="s">
        <v>81</v>
      </c>
      <c r="F305" s="53" t="s">
        <v>80</v>
      </c>
      <c r="G305" s="53">
        <v>6929</v>
      </c>
    </row>
    <row r="306" spans="1:7">
      <c r="A306" s="53">
        <v>89119314</v>
      </c>
      <c r="B306" s="53">
        <v>39</v>
      </c>
      <c r="C306" s="53" t="s">
        <v>83</v>
      </c>
      <c r="D306" s="53" t="s">
        <v>82</v>
      </c>
      <c r="E306" s="51" t="s">
        <v>81</v>
      </c>
      <c r="F306" s="53" t="s">
        <v>80</v>
      </c>
      <c r="G306" s="53">
        <v>9613</v>
      </c>
    </row>
    <row r="307" spans="1:7">
      <c r="A307" s="53">
        <v>86310509</v>
      </c>
      <c r="B307" s="53">
        <v>36</v>
      </c>
      <c r="C307" s="53" t="s">
        <v>83</v>
      </c>
      <c r="D307" s="53" t="s">
        <v>91</v>
      </c>
      <c r="E307" s="51" t="s">
        <v>81</v>
      </c>
      <c r="F307" s="53" t="s">
        <v>89</v>
      </c>
      <c r="G307" s="53">
        <v>5674</v>
      </c>
    </row>
    <row r="308" spans="1:7">
      <c r="A308" s="53">
        <v>83375630</v>
      </c>
      <c r="B308" s="53">
        <v>32</v>
      </c>
      <c r="C308" s="53" t="s">
        <v>85</v>
      </c>
      <c r="D308" s="53" t="s">
        <v>82</v>
      </c>
      <c r="E308" s="51" t="s">
        <v>81</v>
      </c>
      <c r="F308" s="53" t="s">
        <v>80</v>
      </c>
      <c r="G308" s="53">
        <v>5484</v>
      </c>
    </row>
    <row r="309" spans="1:7">
      <c r="A309" s="53">
        <v>81695226</v>
      </c>
      <c r="B309" s="53">
        <v>38</v>
      </c>
      <c r="C309" s="53" t="s">
        <v>83</v>
      </c>
      <c r="D309" s="53" t="s">
        <v>88</v>
      </c>
      <c r="E309" s="51" t="s">
        <v>81</v>
      </c>
      <c r="F309" s="53" t="s">
        <v>89</v>
      </c>
      <c r="G309" s="53">
        <v>12061</v>
      </c>
    </row>
    <row r="310" spans="1:7">
      <c r="A310" s="53">
        <v>83924279</v>
      </c>
      <c r="B310" s="53">
        <v>58</v>
      </c>
      <c r="C310" s="53" t="s">
        <v>83</v>
      </c>
      <c r="D310" s="53" t="s">
        <v>91</v>
      </c>
      <c r="E310" s="51" t="s">
        <v>90</v>
      </c>
      <c r="F310" s="53" t="s">
        <v>80</v>
      </c>
      <c r="G310" s="53">
        <v>5660</v>
      </c>
    </row>
    <row r="311" spans="1:7">
      <c r="A311" s="53">
        <v>81135187</v>
      </c>
      <c r="B311" s="53">
        <v>31</v>
      </c>
      <c r="C311" s="53" t="s">
        <v>83</v>
      </c>
      <c r="D311" s="53" t="s">
        <v>91</v>
      </c>
      <c r="E311" s="51" t="s">
        <v>81</v>
      </c>
      <c r="F311" s="53" t="s">
        <v>80</v>
      </c>
      <c r="G311" s="53">
        <v>4821</v>
      </c>
    </row>
    <row r="312" spans="1:7">
      <c r="A312" s="53">
        <v>86344824</v>
      </c>
      <c r="B312" s="53">
        <v>31</v>
      </c>
      <c r="C312" s="53" t="s">
        <v>93</v>
      </c>
      <c r="D312" s="53" t="s">
        <v>82</v>
      </c>
      <c r="E312" s="51" t="s">
        <v>81</v>
      </c>
      <c r="F312" s="53" t="s">
        <v>80</v>
      </c>
      <c r="G312" s="53">
        <v>6410</v>
      </c>
    </row>
    <row r="313" spans="1:7">
      <c r="A313" s="53">
        <v>88152673</v>
      </c>
      <c r="B313" s="53">
        <v>45</v>
      </c>
      <c r="C313" s="53" t="s">
        <v>83</v>
      </c>
      <c r="D313" s="53" t="s">
        <v>82</v>
      </c>
      <c r="E313" s="51" t="s">
        <v>84</v>
      </c>
      <c r="F313" s="53" t="s">
        <v>80</v>
      </c>
      <c r="G313" s="53">
        <v>5210</v>
      </c>
    </row>
    <row r="314" spans="1:7">
      <c r="A314" s="53">
        <v>81288988</v>
      </c>
      <c r="B314" s="53">
        <v>31</v>
      </c>
      <c r="C314" s="53" t="s">
        <v>83</v>
      </c>
      <c r="D314" s="53" t="s">
        <v>91</v>
      </c>
      <c r="E314" s="51" t="s">
        <v>81</v>
      </c>
      <c r="F314" s="53" t="s">
        <v>80</v>
      </c>
      <c r="G314" s="53">
        <v>2695</v>
      </c>
    </row>
    <row r="315" spans="1:7">
      <c r="A315" s="53">
        <v>81650314</v>
      </c>
      <c r="B315" s="53">
        <v>33</v>
      </c>
      <c r="C315" s="53" t="s">
        <v>83</v>
      </c>
      <c r="D315" s="53" t="s">
        <v>91</v>
      </c>
      <c r="E315" s="51" t="s">
        <v>81</v>
      </c>
      <c r="F315" s="53" t="s">
        <v>89</v>
      </c>
      <c r="G315" s="53">
        <v>11878</v>
      </c>
    </row>
    <row r="316" spans="1:7">
      <c r="A316" s="53">
        <v>87835738</v>
      </c>
      <c r="B316" s="53">
        <v>39</v>
      </c>
      <c r="C316" s="53" t="s">
        <v>83</v>
      </c>
      <c r="D316" s="53" t="s">
        <v>87</v>
      </c>
      <c r="E316" s="51" t="s">
        <v>81</v>
      </c>
      <c r="F316" s="53" t="s">
        <v>80</v>
      </c>
      <c r="G316" s="53">
        <v>17068</v>
      </c>
    </row>
    <row r="317" spans="1:7">
      <c r="A317" s="53">
        <v>83775648</v>
      </c>
      <c r="B317" s="53">
        <v>43</v>
      </c>
      <c r="C317" s="53" t="s">
        <v>83</v>
      </c>
      <c r="D317" s="53" t="s">
        <v>91</v>
      </c>
      <c r="E317" s="51" t="s">
        <v>84</v>
      </c>
      <c r="F317" s="53" t="s">
        <v>89</v>
      </c>
      <c r="G317" s="53">
        <v>2455</v>
      </c>
    </row>
    <row r="318" spans="1:7">
      <c r="A318" s="53">
        <v>80342570</v>
      </c>
      <c r="B318" s="53">
        <v>49</v>
      </c>
      <c r="C318" s="53" t="s">
        <v>83</v>
      </c>
      <c r="D318" s="53" t="s">
        <v>88</v>
      </c>
      <c r="E318" s="51" t="s">
        <v>84</v>
      </c>
      <c r="F318" s="53" t="s">
        <v>89</v>
      </c>
      <c r="G318" s="53">
        <v>13964</v>
      </c>
    </row>
    <row r="319" spans="1:7">
      <c r="A319" s="53">
        <v>88245475</v>
      </c>
      <c r="B319" s="53">
        <v>52</v>
      </c>
      <c r="C319" s="53" t="s">
        <v>83</v>
      </c>
      <c r="D319" s="53" t="s">
        <v>91</v>
      </c>
      <c r="E319" s="51" t="s">
        <v>90</v>
      </c>
      <c r="F319" s="53" t="s">
        <v>80</v>
      </c>
      <c r="G319" s="53">
        <v>4941</v>
      </c>
    </row>
    <row r="320" spans="1:7">
      <c r="A320" s="53">
        <v>88412984</v>
      </c>
      <c r="B320" s="53">
        <v>27</v>
      </c>
      <c r="C320" s="53" t="s">
        <v>83</v>
      </c>
      <c r="D320" s="53" t="s">
        <v>82</v>
      </c>
      <c r="E320" s="51" t="s">
        <v>86</v>
      </c>
      <c r="F320" s="53" t="s">
        <v>89</v>
      </c>
      <c r="G320" s="53">
        <v>2478</v>
      </c>
    </row>
    <row r="321" spans="1:7">
      <c r="A321" s="53">
        <v>86117595</v>
      </c>
      <c r="B321" s="53">
        <v>32</v>
      </c>
      <c r="C321" s="53" t="s">
        <v>85</v>
      </c>
      <c r="D321" s="53" t="s">
        <v>88</v>
      </c>
      <c r="E321" s="51" t="s">
        <v>81</v>
      </c>
      <c r="F321" s="53" t="s">
        <v>89</v>
      </c>
      <c r="G321" s="53">
        <v>5228</v>
      </c>
    </row>
    <row r="322" spans="1:7">
      <c r="A322" s="53">
        <v>86453389</v>
      </c>
      <c r="B322" s="53">
        <v>27</v>
      </c>
      <c r="C322" s="53" t="s">
        <v>85</v>
      </c>
      <c r="D322" s="53" t="s">
        <v>82</v>
      </c>
      <c r="E322" s="51" t="s">
        <v>86</v>
      </c>
      <c r="F322" s="53" t="s">
        <v>80</v>
      </c>
      <c r="G322" s="53">
        <v>4478</v>
      </c>
    </row>
    <row r="323" spans="1:7">
      <c r="A323" s="53">
        <v>87100081</v>
      </c>
      <c r="B323" s="53">
        <v>31</v>
      </c>
      <c r="C323" s="53" t="s">
        <v>85</v>
      </c>
      <c r="D323" s="53" t="s">
        <v>82</v>
      </c>
      <c r="E323" s="51" t="s">
        <v>81</v>
      </c>
      <c r="F323" s="53" t="s">
        <v>80</v>
      </c>
      <c r="G323" s="53">
        <v>7547</v>
      </c>
    </row>
    <row r="324" spans="1:7">
      <c r="A324" s="53">
        <v>80076226</v>
      </c>
      <c r="B324" s="53">
        <v>32</v>
      </c>
      <c r="C324" s="53" t="s">
        <v>83</v>
      </c>
      <c r="D324" s="53" t="s">
        <v>91</v>
      </c>
      <c r="E324" s="51" t="s">
        <v>81</v>
      </c>
      <c r="F324" s="53" t="s">
        <v>89</v>
      </c>
      <c r="G324" s="53">
        <v>5055</v>
      </c>
    </row>
    <row r="325" spans="1:7">
      <c r="A325" s="53">
        <v>80098515</v>
      </c>
      <c r="B325" s="53">
        <v>28</v>
      </c>
      <c r="C325" s="53" t="s">
        <v>83</v>
      </c>
      <c r="D325" s="53" t="s">
        <v>91</v>
      </c>
      <c r="E325" s="51" t="s">
        <v>86</v>
      </c>
      <c r="F325" s="53" t="s">
        <v>80</v>
      </c>
      <c r="G325" s="53">
        <v>3464</v>
      </c>
    </row>
    <row r="326" spans="1:7">
      <c r="A326" s="53">
        <v>87805469</v>
      </c>
      <c r="B326" s="53">
        <v>30</v>
      </c>
      <c r="C326" s="53" t="s">
        <v>83</v>
      </c>
      <c r="D326" s="53" t="s">
        <v>88</v>
      </c>
      <c r="E326" s="51" t="s">
        <v>81</v>
      </c>
      <c r="F326" s="53" t="s">
        <v>89</v>
      </c>
      <c r="G326" s="53">
        <v>5775</v>
      </c>
    </row>
    <row r="327" spans="1:7">
      <c r="A327" s="53">
        <v>85920843</v>
      </c>
      <c r="B327" s="53">
        <v>31</v>
      </c>
      <c r="C327" s="53" t="s">
        <v>83</v>
      </c>
      <c r="D327" s="53" t="s">
        <v>88</v>
      </c>
      <c r="E327" s="51" t="s">
        <v>81</v>
      </c>
      <c r="F327" s="53" t="s">
        <v>89</v>
      </c>
      <c r="G327" s="53">
        <v>8943</v>
      </c>
    </row>
    <row r="328" spans="1:7">
      <c r="A328" s="53">
        <v>89111951</v>
      </c>
      <c r="B328" s="53">
        <v>39</v>
      </c>
      <c r="C328" s="53" t="s">
        <v>83</v>
      </c>
      <c r="D328" s="53" t="s">
        <v>88</v>
      </c>
      <c r="E328" s="51" t="s">
        <v>81</v>
      </c>
      <c r="F328" s="53" t="s">
        <v>80</v>
      </c>
      <c r="G328" s="53">
        <v>19272</v>
      </c>
    </row>
    <row r="329" spans="1:7">
      <c r="A329" s="53">
        <v>87415152</v>
      </c>
      <c r="B329" s="53">
        <v>39</v>
      </c>
      <c r="C329" s="53" t="s">
        <v>85</v>
      </c>
      <c r="D329" s="53" t="s">
        <v>88</v>
      </c>
      <c r="E329" s="51" t="s">
        <v>81</v>
      </c>
      <c r="F329" s="53" t="s">
        <v>89</v>
      </c>
      <c r="G329" s="53">
        <v>5238</v>
      </c>
    </row>
    <row r="330" spans="1:7">
      <c r="A330" s="53">
        <v>88445900</v>
      </c>
      <c r="B330" s="53">
        <v>33</v>
      </c>
      <c r="C330" s="53" t="s">
        <v>85</v>
      </c>
      <c r="D330" s="53" t="s">
        <v>82</v>
      </c>
      <c r="E330" s="51" t="s">
        <v>81</v>
      </c>
      <c r="F330" s="53" t="s">
        <v>80</v>
      </c>
      <c r="G330" s="53">
        <v>4682</v>
      </c>
    </row>
    <row r="331" spans="1:7">
      <c r="A331" s="53">
        <v>81329631</v>
      </c>
      <c r="B331" s="53">
        <v>47</v>
      </c>
      <c r="C331" s="53" t="s">
        <v>83</v>
      </c>
      <c r="D331" s="53" t="s">
        <v>94</v>
      </c>
      <c r="E331" s="51" t="s">
        <v>84</v>
      </c>
      <c r="F331" s="53" t="s">
        <v>80</v>
      </c>
      <c r="G331" s="53">
        <v>18300</v>
      </c>
    </row>
    <row r="332" spans="1:7">
      <c r="A332" s="53">
        <v>86722713</v>
      </c>
      <c r="B332" s="53">
        <v>43</v>
      </c>
      <c r="C332" s="53" t="s">
        <v>83</v>
      </c>
      <c r="D332" s="53" t="s">
        <v>91</v>
      </c>
      <c r="E332" s="51" t="s">
        <v>84</v>
      </c>
      <c r="F332" s="53" t="s">
        <v>89</v>
      </c>
      <c r="G332" s="53">
        <v>5257</v>
      </c>
    </row>
    <row r="333" spans="1:7">
      <c r="A333" s="53">
        <v>85057386</v>
      </c>
      <c r="B333" s="53">
        <v>27</v>
      </c>
      <c r="C333" s="53" t="s">
        <v>85</v>
      </c>
      <c r="D333" s="53" t="s">
        <v>87</v>
      </c>
      <c r="E333" s="51" t="s">
        <v>86</v>
      </c>
      <c r="F333" s="53" t="s">
        <v>80</v>
      </c>
      <c r="G333" s="53">
        <v>6349</v>
      </c>
    </row>
    <row r="334" spans="1:7">
      <c r="A334" s="53">
        <v>86792422</v>
      </c>
      <c r="B334" s="53">
        <v>54</v>
      </c>
      <c r="C334" s="53" t="s">
        <v>83</v>
      </c>
      <c r="D334" s="53" t="s">
        <v>91</v>
      </c>
      <c r="E334" s="51" t="s">
        <v>90</v>
      </c>
      <c r="F334" s="53" t="s">
        <v>89</v>
      </c>
      <c r="G334" s="53">
        <v>4869</v>
      </c>
    </row>
    <row r="335" spans="1:7">
      <c r="A335" s="53">
        <v>85031049</v>
      </c>
      <c r="B335" s="53">
        <v>43</v>
      </c>
      <c r="C335" s="53" t="s">
        <v>83</v>
      </c>
      <c r="D335" s="53" t="s">
        <v>82</v>
      </c>
      <c r="E335" s="51" t="s">
        <v>84</v>
      </c>
      <c r="F335" s="53" t="s">
        <v>89</v>
      </c>
      <c r="G335" s="53">
        <v>9985</v>
      </c>
    </row>
    <row r="336" spans="1:7">
      <c r="A336" s="53">
        <v>84560736</v>
      </c>
      <c r="B336" s="53">
        <v>45</v>
      </c>
      <c r="C336" s="53" t="s">
        <v>83</v>
      </c>
      <c r="D336" s="53" t="s">
        <v>91</v>
      </c>
      <c r="E336" s="51" t="s">
        <v>84</v>
      </c>
      <c r="F336" s="53" t="s">
        <v>80</v>
      </c>
      <c r="G336" s="53">
        <v>3697</v>
      </c>
    </row>
    <row r="337" spans="1:7">
      <c r="A337" s="53">
        <v>87033395</v>
      </c>
      <c r="B337" s="53">
        <v>40</v>
      </c>
      <c r="C337" s="53" t="s">
        <v>85</v>
      </c>
      <c r="D337" s="53" t="s">
        <v>88</v>
      </c>
      <c r="E337" s="51" t="s">
        <v>84</v>
      </c>
      <c r="F337" s="53" t="s">
        <v>80</v>
      </c>
      <c r="G337" s="53">
        <v>7457</v>
      </c>
    </row>
    <row r="338" spans="1:7">
      <c r="A338" s="53">
        <v>82357001</v>
      </c>
      <c r="B338" s="53">
        <v>29</v>
      </c>
      <c r="C338" s="53" t="s">
        <v>83</v>
      </c>
      <c r="D338" s="53" t="s">
        <v>91</v>
      </c>
      <c r="E338" s="51" t="s">
        <v>86</v>
      </c>
      <c r="F338" s="53" t="s">
        <v>80</v>
      </c>
      <c r="G338" s="53">
        <v>2119</v>
      </c>
    </row>
    <row r="339" spans="1:7">
      <c r="A339" s="53">
        <v>80696203</v>
      </c>
      <c r="B339" s="53">
        <v>29</v>
      </c>
      <c r="C339" s="53" t="s">
        <v>83</v>
      </c>
      <c r="D339" s="53" t="s">
        <v>94</v>
      </c>
      <c r="E339" s="51" t="s">
        <v>86</v>
      </c>
      <c r="F339" s="53" t="s">
        <v>80</v>
      </c>
      <c r="G339" s="53">
        <v>3983</v>
      </c>
    </row>
    <row r="340" spans="1:7">
      <c r="A340" s="53">
        <v>89335245</v>
      </c>
      <c r="B340" s="53">
        <v>30</v>
      </c>
      <c r="C340" s="53" t="s">
        <v>85</v>
      </c>
      <c r="D340" s="53" t="s">
        <v>82</v>
      </c>
      <c r="E340" s="51" t="s">
        <v>81</v>
      </c>
      <c r="F340" s="53" t="s">
        <v>89</v>
      </c>
      <c r="G340" s="53">
        <v>6118</v>
      </c>
    </row>
    <row r="341" spans="1:7">
      <c r="A341" s="53">
        <v>83716663</v>
      </c>
      <c r="B341" s="53">
        <v>27</v>
      </c>
      <c r="C341" s="53" t="s">
        <v>85</v>
      </c>
      <c r="D341" s="53" t="s">
        <v>91</v>
      </c>
      <c r="E341" s="51" t="s">
        <v>86</v>
      </c>
      <c r="F341" s="53" t="s">
        <v>89</v>
      </c>
      <c r="G341" s="53">
        <v>6214</v>
      </c>
    </row>
    <row r="342" spans="1:7">
      <c r="A342" s="53">
        <v>80717435</v>
      </c>
      <c r="B342" s="53">
        <v>37</v>
      </c>
      <c r="C342" s="53" t="s">
        <v>83</v>
      </c>
      <c r="D342" s="53" t="s">
        <v>88</v>
      </c>
      <c r="E342" s="51" t="s">
        <v>81</v>
      </c>
      <c r="F342" s="53" t="s">
        <v>80</v>
      </c>
      <c r="G342" s="53">
        <v>6347</v>
      </c>
    </row>
    <row r="343" spans="1:7">
      <c r="A343" s="53">
        <v>83868545</v>
      </c>
      <c r="B343" s="53">
        <v>38</v>
      </c>
      <c r="C343" s="53" t="s">
        <v>83</v>
      </c>
      <c r="D343" s="53" t="s">
        <v>88</v>
      </c>
      <c r="E343" s="51" t="s">
        <v>81</v>
      </c>
      <c r="F343" s="53" t="s">
        <v>80</v>
      </c>
      <c r="G343" s="53">
        <v>11510</v>
      </c>
    </row>
    <row r="344" spans="1:7">
      <c r="A344" s="53">
        <v>89412396</v>
      </c>
      <c r="B344" s="53">
        <v>31</v>
      </c>
      <c r="C344" s="53" t="s">
        <v>83</v>
      </c>
      <c r="D344" s="53" t="s">
        <v>91</v>
      </c>
      <c r="E344" s="51" t="s">
        <v>81</v>
      </c>
      <c r="F344" s="53" t="s">
        <v>89</v>
      </c>
      <c r="G344" s="53">
        <v>7143</v>
      </c>
    </row>
    <row r="345" spans="1:7">
      <c r="A345" s="53">
        <v>85537520</v>
      </c>
      <c r="B345" s="53">
        <v>29</v>
      </c>
      <c r="C345" s="53" t="s">
        <v>85</v>
      </c>
      <c r="D345" s="53" t="s">
        <v>87</v>
      </c>
      <c r="E345" s="51" t="s">
        <v>86</v>
      </c>
      <c r="F345" s="53" t="s">
        <v>89</v>
      </c>
      <c r="G345" s="53">
        <v>8268</v>
      </c>
    </row>
    <row r="346" spans="1:7">
      <c r="A346" s="53">
        <v>83801510</v>
      </c>
      <c r="B346" s="53">
        <v>35</v>
      </c>
      <c r="C346" s="53" t="s">
        <v>83</v>
      </c>
      <c r="D346" s="53" t="s">
        <v>91</v>
      </c>
      <c r="E346" s="51" t="s">
        <v>81</v>
      </c>
      <c r="F346" s="53" t="s">
        <v>80</v>
      </c>
      <c r="G346" s="53">
        <v>8095</v>
      </c>
    </row>
    <row r="347" spans="1:7">
      <c r="A347" s="53">
        <v>86540650</v>
      </c>
      <c r="B347" s="53">
        <v>23</v>
      </c>
      <c r="C347" s="53" t="s">
        <v>83</v>
      </c>
      <c r="D347" s="53" t="s">
        <v>87</v>
      </c>
      <c r="E347" s="51" t="s">
        <v>86</v>
      </c>
      <c r="F347" s="53" t="s">
        <v>80</v>
      </c>
      <c r="G347" s="53">
        <v>2904</v>
      </c>
    </row>
    <row r="348" spans="1:7">
      <c r="A348" s="53">
        <v>84806041</v>
      </c>
      <c r="B348" s="53">
        <v>41</v>
      </c>
      <c r="C348" s="53" t="s">
        <v>83</v>
      </c>
      <c r="D348" s="53" t="s">
        <v>82</v>
      </c>
      <c r="E348" s="51" t="s">
        <v>84</v>
      </c>
      <c r="F348" s="53" t="s">
        <v>80</v>
      </c>
      <c r="G348" s="53">
        <v>6032</v>
      </c>
    </row>
    <row r="349" spans="1:7">
      <c r="A349" s="53">
        <v>81125645</v>
      </c>
      <c r="B349" s="53">
        <v>47</v>
      </c>
      <c r="C349" s="53" t="s">
        <v>85</v>
      </c>
      <c r="D349" s="53" t="s">
        <v>87</v>
      </c>
      <c r="E349" s="51" t="s">
        <v>84</v>
      </c>
      <c r="F349" s="53" t="s">
        <v>80</v>
      </c>
      <c r="G349" s="53">
        <v>2976</v>
      </c>
    </row>
    <row r="350" spans="1:7">
      <c r="A350" s="53">
        <v>89525925</v>
      </c>
      <c r="B350" s="53">
        <v>42</v>
      </c>
      <c r="C350" s="53" t="s">
        <v>83</v>
      </c>
      <c r="D350" s="53" t="s">
        <v>94</v>
      </c>
      <c r="E350" s="51" t="s">
        <v>84</v>
      </c>
      <c r="F350" s="53" t="s">
        <v>89</v>
      </c>
      <c r="G350" s="53">
        <v>15992</v>
      </c>
    </row>
    <row r="351" spans="1:7">
      <c r="A351" s="53">
        <v>81559254</v>
      </c>
      <c r="B351" s="53">
        <v>29</v>
      </c>
      <c r="C351" s="53" t="s">
        <v>85</v>
      </c>
      <c r="D351" s="53" t="s">
        <v>82</v>
      </c>
      <c r="E351" s="51" t="s">
        <v>86</v>
      </c>
      <c r="F351" s="53" t="s">
        <v>80</v>
      </c>
      <c r="G351" s="53">
        <v>4649</v>
      </c>
    </row>
    <row r="352" spans="1:7">
      <c r="A352" s="53">
        <v>83537730</v>
      </c>
      <c r="B352" s="53">
        <v>42</v>
      </c>
      <c r="C352" s="53" t="s">
        <v>93</v>
      </c>
      <c r="D352" s="53" t="s">
        <v>87</v>
      </c>
      <c r="E352" s="51" t="s">
        <v>84</v>
      </c>
      <c r="F352" s="53" t="s">
        <v>80</v>
      </c>
      <c r="G352" s="53">
        <v>2696</v>
      </c>
    </row>
    <row r="353" spans="1:7">
      <c r="A353" s="53">
        <v>85565412</v>
      </c>
      <c r="B353" s="53">
        <v>32</v>
      </c>
      <c r="C353" s="53" t="s">
        <v>83</v>
      </c>
      <c r="D353" s="53" t="s">
        <v>82</v>
      </c>
      <c r="E353" s="51" t="s">
        <v>81</v>
      </c>
      <c r="F353" s="53" t="s">
        <v>89</v>
      </c>
      <c r="G353" s="53">
        <v>2370</v>
      </c>
    </row>
    <row r="354" spans="1:7">
      <c r="A354" s="53">
        <v>84370198</v>
      </c>
      <c r="B354" s="53">
        <v>48</v>
      </c>
      <c r="C354" s="53" t="s">
        <v>85</v>
      </c>
      <c r="D354" s="53" t="s">
        <v>87</v>
      </c>
      <c r="E354" s="51" t="s">
        <v>84</v>
      </c>
      <c r="F354" s="53" t="s">
        <v>89</v>
      </c>
      <c r="G354" s="53">
        <v>12504</v>
      </c>
    </row>
    <row r="355" spans="1:7">
      <c r="A355" s="53">
        <v>80842713</v>
      </c>
      <c r="B355" s="53">
        <v>37</v>
      </c>
      <c r="C355" s="53" t="s">
        <v>83</v>
      </c>
      <c r="D355" s="53" t="s">
        <v>82</v>
      </c>
      <c r="E355" s="51" t="s">
        <v>81</v>
      </c>
      <c r="F355" s="53" t="s">
        <v>80</v>
      </c>
      <c r="G355" s="53">
        <v>5974</v>
      </c>
    </row>
    <row r="356" spans="1:7">
      <c r="A356" s="53">
        <v>81369853</v>
      </c>
      <c r="B356" s="53">
        <v>30</v>
      </c>
      <c r="C356" s="53" t="s">
        <v>85</v>
      </c>
      <c r="D356" s="53" t="s">
        <v>88</v>
      </c>
      <c r="E356" s="51" t="s">
        <v>81</v>
      </c>
      <c r="F356" s="53" t="s">
        <v>89</v>
      </c>
      <c r="G356" s="53">
        <v>4736</v>
      </c>
    </row>
    <row r="357" spans="1:7">
      <c r="A357" s="53">
        <v>86890557</v>
      </c>
      <c r="B357" s="53">
        <v>26</v>
      </c>
      <c r="C357" s="53" t="s">
        <v>85</v>
      </c>
      <c r="D357" s="53" t="s">
        <v>82</v>
      </c>
      <c r="E357" s="51" t="s">
        <v>86</v>
      </c>
      <c r="F357" s="53" t="s">
        <v>80</v>
      </c>
      <c r="G357" s="53">
        <v>5296</v>
      </c>
    </row>
    <row r="358" spans="1:7">
      <c r="A358" s="53">
        <v>85726822</v>
      </c>
      <c r="B358" s="53">
        <v>42</v>
      </c>
      <c r="C358" s="53" t="s">
        <v>83</v>
      </c>
      <c r="D358" s="53" t="s">
        <v>91</v>
      </c>
      <c r="E358" s="51" t="s">
        <v>84</v>
      </c>
      <c r="F358" s="53" t="s">
        <v>80</v>
      </c>
      <c r="G358" s="53">
        <v>6781</v>
      </c>
    </row>
    <row r="359" spans="1:7">
      <c r="A359" s="53">
        <v>84340348</v>
      </c>
      <c r="B359" s="53">
        <v>21</v>
      </c>
      <c r="C359" s="53" t="s">
        <v>85</v>
      </c>
      <c r="D359" s="53" t="s">
        <v>87</v>
      </c>
      <c r="E359" s="51" t="s">
        <v>86</v>
      </c>
      <c r="F359" s="53" t="s">
        <v>89</v>
      </c>
      <c r="G359" s="53">
        <v>2174</v>
      </c>
    </row>
    <row r="360" spans="1:7">
      <c r="A360" s="53">
        <v>80244628</v>
      </c>
      <c r="B360" s="53">
        <v>36</v>
      </c>
      <c r="C360" s="53" t="s">
        <v>85</v>
      </c>
      <c r="D360" s="53" t="s">
        <v>94</v>
      </c>
      <c r="E360" s="51" t="s">
        <v>81</v>
      </c>
      <c r="F360" s="53" t="s">
        <v>89</v>
      </c>
      <c r="G360" s="53">
        <v>6653</v>
      </c>
    </row>
    <row r="361" spans="1:7">
      <c r="A361" s="53">
        <v>84473517</v>
      </c>
      <c r="B361" s="53">
        <v>36</v>
      </c>
      <c r="C361" s="53" t="s">
        <v>85</v>
      </c>
      <c r="D361" s="53" t="s">
        <v>91</v>
      </c>
      <c r="E361" s="51" t="s">
        <v>81</v>
      </c>
      <c r="F361" s="53" t="s">
        <v>80</v>
      </c>
      <c r="G361" s="53">
        <v>9699</v>
      </c>
    </row>
    <row r="362" spans="1:7">
      <c r="A362" s="53">
        <v>89581278</v>
      </c>
      <c r="B362" s="53">
        <v>57</v>
      </c>
      <c r="C362" s="53" t="s">
        <v>83</v>
      </c>
      <c r="D362" s="53" t="s">
        <v>91</v>
      </c>
      <c r="E362" s="51" t="s">
        <v>90</v>
      </c>
      <c r="F362" s="53" t="s">
        <v>80</v>
      </c>
      <c r="G362" s="53">
        <v>6755</v>
      </c>
    </row>
    <row r="363" spans="1:7">
      <c r="A363" s="53">
        <v>87905339</v>
      </c>
      <c r="B363" s="53">
        <v>40</v>
      </c>
      <c r="C363" s="53" t="s">
        <v>83</v>
      </c>
      <c r="D363" s="53" t="s">
        <v>91</v>
      </c>
      <c r="E363" s="51" t="s">
        <v>84</v>
      </c>
      <c r="F363" s="53" t="s">
        <v>89</v>
      </c>
      <c r="G363" s="53">
        <v>2213</v>
      </c>
    </row>
    <row r="364" spans="1:7">
      <c r="A364" s="53">
        <v>88623176</v>
      </c>
      <c r="B364" s="53">
        <v>21</v>
      </c>
      <c r="C364" s="53" t="s">
        <v>85</v>
      </c>
      <c r="D364" s="53" t="s">
        <v>88</v>
      </c>
      <c r="E364" s="51" t="s">
        <v>86</v>
      </c>
      <c r="F364" s="53" t="s">
        <v>80</v>
      </c>
      <c r="G364" s="53">
        <v>2610</v>
      </c>
    </row>
    <row r="365" spans="1:7">
      <c r="A365" s="53">
        <v>89996570</v>
      </c>
      <c r="B365" s="53">
        <v>33</v>
      </c>
      <c r="C365" s="53" t="s">
        <v>85</v>
      </c>
      <c r="D365" s="53" t="s">
        <v>82</v>
      </c>
      <c r="E365" s="51" t="s">
        <v>81</v>
      </c>
      <c r="F365" s="53" t="s">
        <v>89</v>
      </c>
      <c r="G365" s="53">
        <v>2851</v>
      </c>
    </row>
    <row r="366" spans="1:7">
      <c r="A366" s="53">
        <v>83066009</v>
      </c>
      <c r="B366" s="53">
        <v>37</v>
      </c>
      <c r="C366" s="53" t="s">
        <v>83</v>
      </c>
      <c r="D366" s="53" t="s">
        <v>82</v>
      </c>
      <c r="E366" s="51" t="s">
        <v>81</v>
      </c>
      <c r="F366" s="53" t="s">
        <v>89</v>
      </c>
      <c r="G366" s="53">
        <v>3452</v>
      </c>
    </row>
    <row r="367" spans="1:7">
      <c r="A367" s="53">
        <v>88341267</v>
      </c>
      <c r="B367" s="53">
        <v>46</v>
      </c>
      <c r="C367" s="53" t="s">
        <v>83</v>
      </c>
      <c r="D367" s="53" t="s">
        <v>91</v>
      </c>
      <c r="E367" s="51" t="s">
        <v>84</v>
      </c>
      <c r="F367" s="53" t="s">
        <v>89</v>
      </c>
      <c r="G367" s="53">
        <v>5258</v>
      </c>
    </row>
    <row r="368" spans="1:7">
      <c r="A368" s="53">
        <v>84526700</v>
      </c>
      <c r="B368" s="53">
        <v>41</v>
      </c>
      <c r="C368" s="53" t="s">
        <v>85</v>
      </c>
      <c r="D368" s="53" t="s">
        <v>82</v>
      </c>
      <c r="E368" s="51" t="s">
        <v>84</v>
      </c>
      <c r="F368" s="53" t="s">
        <v>80</v>
      </c>
      <c r="G368" s="53">
        <v>9355</v>
      </c>
    </row>
    <row r="369" spans="1:7">
      <c r="A369" s="53">
        <v>88990916</v>
      </c>
      <c r="B369" s="53">
        <v>50</v>
      </c>
      <c r="C369" s="53" t="s">
        <v>83</v>
      </c>
      <c r="D369" s="53" t="s">
        <v>82</v>
      </c>
      <c r="E369" s="51" t="s">
        <v>90</v>
      </c>
      <c r="F369" s="53" t="s">
        <v>80</v>
      </c>
      <c r="G369" s="53">
        <v>10496</v>
      </c>
    </row>
    <row r="370" spans="1:7">
      <c r="A370" s="53">
        <v>82515327</v>
      </c>
      <c r="B370" s="53">
        <v>40</v>
      </c>
      <c r="C370" s="53" t="s">
        <v>85</v>
      </c>
      <c r="D370" s="53" t="s">
        <v>88</v>
      </c>
      <c r="E370" s="51" t="s">
        <v>84</v>
      </c>
      <c r="F370" s="53" t="s">
        <v>80</v>
      </c>
      <c r="G370" s="53">
        <v>6380</v>
      </c>
    </row>
    <row r="371" spans="1:7">
      <c r="A371" s="53">
        <v>82093222</v>
      </c>
      <c r="B371" s="53">
        <v>31</v>
      </c>
      <c r="C371" s="53" t="s">
        <v>83</v>
      </c>
      <c r="D371" s="53" t="s">
        <v>91</v>
      </c>
      <c r="E371" s="51" t="s">
        <v>81</v>
      </c>
      <c r="F371" s="53" t="s">
        <v>80</v>
      </c>
      <c r="G371" s="53">
        <v>2657</v>
      </c>
    </row>
    <row r="372" spans="1:7">
      <c r="A372" s="53">
        <v>88198671</v>
      </c>
      <c r="B372" s="53">
        <v>21</v>
      </c>
      <c r="C372" s="53" t="s">
        <v>85</v>
      </c>
      <c r="D372" s="53" t="s">
        <v>82</v>
      </c>
      <c r="E372" s="51" t="s">
        <v>86</v>
      </c>
      <c r="F372" s="53" t="s">
        <v>89</v>
      </c>
      <c r="G372" s="53">
        <v>2716</v>
      </c>
    </row>
    <row r="373" spans="1:7">
      <c r="A373" s="53">
        <v>89118214</v>
      </c>
      <c r="B373" s="53">
        <v>29</v>
      </c>
      <c r="C373" s="53" t="s">
        <v>83</v>
      </c>
      <c r="D373" s="53" t="s">
        <v>82</v>
      </c>
      <c r="E373" s="51" t="s">
        <v>86</v>
      </c>
      <c r="F373" s="53" t="s">
        <v>80</v>
      </c>
      <c r="G373" s="53">
        <v>2201</v>
      </c>
    </row>
    <row r="374" spans="1:7">
      <c r="A374" s="53">
        <v>82279603</v>
      </c>
      <c r="B374" s="53">
        <v>35</v>
      </c>
      <c r="C374" s="53" t="s">
        <v>83</v>
      </c>
      <c r="D374" s="53" t="s">
        <v>91</v>
      </c>
      <c r="E374" s="51" t="s">
        <v>81</v>
      </c>
      <c r="F374" s="53" t="s">
        <v>80</v>
      </c>
      <c r="G374" s="53">
        <v>6540</v>
      </c>
    </row>
    <row r="375" spans="1:7">
      <c r="A375" s="53">
        <v>81586708</v>
      </c>
      <c r="B375" s="53">
        <v>27</v>
      </c>
      <c r="C375" s="53" t="s">
        <v>83</v>
      </c>
      <c r="D375" s="53" t="s">
        <v>88</v>
      </c>
      <c r="E375" s="51" t="s">
        <v>86</v>
      </c>
      <c r="F375" s="53" t="s">
        <v>80</v>
      </c>
      <c r="G375" s="53">
        <v>3816</v>
      </c>
    </row>
    <row r="376" spans="1:7">
      <c r="A376" s="53">
        <v>81496682</v>
      </c>
      <c r="B376" s="53">
        <v>28</v>
      </c>
      <c r="C376" s="53" t="s">
        <v>85</v>
      </c>
      <c r="D376" s="53" t="s">
        <v>91</v>
      </c>
      <c r="E376" s="51" t="s">
        <v>86</v>
      </c>
      <c r="F376" s="53" t="s">
        <v>80</v>
      </c>
      <c r="G376" s="53">
        <v>5253</v>
      </c>
    </row>
    <row r="377" spans="1:7">
      <c r="A377" s="53">
        <v>80769047</v>
      </c>
      <c r="B377" s="53">
        <v>49</v>
      </c>
      <c r="C377" s="53" t="s">
        <v>83</v>
      </c>
      <c r="D377" s="53" t="s">
        <v>82</v>
      </c>
      <c r="E377" s="51" t="s">
        <v>84</v>
      </c>
      <c r="F377" s="53" t="s">
        <v>80</v>
      </c>
      <c r="G377" s="53">
        <v>10965</v>
      </c>
    </row>
    <row r="378" spans="1:7">
      <c r="A378" s="53">
        <v>84316753</v>
      </c>
      <c r="B378" s="53">
        <v>51</v>
      </c>
      <c r="C378" s="53" t="s">
        <v>85</v>
      </c>
      <c r="D378" s="53" t="s">
        <v>88</v>
      </c>
      <c r="E378" s="51" t="s">
        <v>90</v>
      </c>
      <c r="F378" s="53" t="s">
        <v>89</v>
      </c>
      <c r="G378" s="53">
        <v>4936</v>
      </c>
    </row>
    <row r="379" spans="1:7">
      <c r="A379" s="53">
        <v>86665408</v>
      </c>
      <c r="B379" s="53">
        <v>36</v>
      </c>
      <c r="C379" s="53" t="s">
        <v>83</v>
      </c>
      <c r="D379" s="53" t="s">
        <v>82</v>
      </c>
      <c r="E379" s="51" t="s">
        <v>81</v>
      </c>
      <c r="F379" s="53" t="s">
        <v>89</v>
      </c>
      <c r="G379" s="53">
        <v>2543</v>
      </c>
    </row>
    <row r="380" spans="1:7">
      <c r="A380" s="53">
        <v>89224033</v>
      </c>
      <c r="B380" s="53">
        <v>34</v>
      </c>
      <c r="C380" s="53" t="s">
        <v>85</v>
      </c>
      <c r="D380" s="53" t="s">
        <v>82</v>
      </c>
      <c r="E380" s="51" t="s">
        <v>81</v>
      </c>
      <c r="F380" s="53" t="s">
        <v>80</v>
      </c>
      <c r="G380" s="53">
        <v>5304</v>
      </c>
    </row>
    <row r="381" spans="1:7">
      <c r="A381" s="53">
        <v>85275488</v>
      </c>
      <c r="B381" s="53">
        <v>55</v>
      </c>
      <c r="C381" s="53" t="s">
        <v>83</v>
      </c>
      <c r="D381" s="53" t="s">
        <v>82</v>
      </c>
      <c r="E381" s="51" t="s">
        <v>90</v>
      </c>
      <c r="F381" s="53" t="s">
        <v>89</v>
      </c>
      <c r="G381" s="53">
        <v>16659</v>
      </c>
    </row>
    <row r="382" spans="1:7">
      <c r="A382" s="53">
        <v>87246994</v>
      </c>
      <c r="B382" s="53">
        <v>24</v>
      </c>
      <c r="C382" s="53" t="s">
        <v>85</v>
      </c>
      <c r="D382" s="53" t="s">
        <v>91</v>
      </c>
      <c r="E382" s="51" t="s">
        <v>86</v>
      </c>
      <c r="F382" s="53" t="s">
        <v>89</v>
      </c>
      <c r="G382" s="53">
        <v>4260</v>
      </c>
    </row>
    <row r="383" spans="1:7">
      <c r="A383" s="53">
        <v>80789830</v>
      </c>
      <c r="B383" s="53">
        <v>30</v>
      </c>
      <c r="C383" s="53" t="s">
        <v>85</v>
      </c>
      <c r="D383" s="53" t="s">
        <v>87</v>
      </c>
      <c r="E383" s="51" t="s">
        <v>81</v>
      </c>
      <c r="F383" s="53" t="s">
        <v>80</v>
      </c>
      <c r="G383" s="53">
        <v>2476</v>
      </c>
    </row>
    <row r="384" spans="1:7">
      <c r="A384" s="53">
        <v>81348018</v>
      </c>
      <c r="B384" s="53">
        <v>26</v>
      </c>
      <c r="C384" s="53" t="s">
        <v>83</v>
      </c>
      <c r="D384" s="53" t="s">
        <v>87</v>
      </c>
      <c r="E384" s="51" t="s">
        <v>86</v>
      </c>
      <c r="F384" s="53" t="s">
        <v>80</v>
      </c>
      <c r="G384" s="53">
        <v>3102</v>
      </c>
    </row>
    <row r="385" spans="1:7">
      <c r="A385" s="53">
        <v>87022377</v>
      </c>
      <c r="B385" s="53">
        <v>22</v>
      </c>
      <c r="C385" s="53" t="s">
        <v>83</v>
      </c>
      <c r="D385" s="53" t="s">
        <v>82</v>
      </c>
      <c r="E385" s="51" t="s">
        <v>86</v>
      </c>
      <c r="F385" s="53" t="s">
        <v>89</v>
      </c>
      <c r="G385" s="53">
        <v>2244</v>
      </c>
    </row>
    <row r="386" spans="1:7">
      <c r="A386" s="53">
        <v>89142032</v>
      </c>
      <c r="B386" s="53">
        <v>36</v>
      </c>
      <c r="C386" s="53" t="s">
        <v>85</v>
      </c>
      <c r="D386" s="53" t="s">
        <v>88</v>
      </c>
      <c r="E386" s="51" t="s">
        <v>81</v>
      </c>
      <c r="F386" s="53" t="s">
        <v>80</v>
      </c>
      <c r="G386" s="53">
        <v>7596</v>
      </c>
    </row>
    <row r="387" spans="1:7">
      <c r="A387" s="53">
        <v>89442245</v>
      </c>
      <c r="B387" s="53">
        <v>30</v>
      </c>
      <c r="C387" s="53" t="s">
        <v>83</v>
      </c>
      <c r="D387" s="53" t="s">
        <v>82</v>
      </c>
      <c r="E387" s="51" t="s">
        <v>81</v>
      </c>
      <c r="F387" s="53" t="s">
        <v>80</v>
      </c>
      <c r="G387" s="53">
        <v>2285</v>
      </c>
    </row>
    <row r="388" spans="1:7">
      <c r="A388" s="53">
        <v>88333804</v>
      </c>
      <c r="B388" s="53">
        <v>37</v>
      </c>
      <c r="C388" s="53" t="s">
        <v>83</v>
      </c>
      <c r="D388" s="53" t="s">
        <v>82</v>
      </c>
      <c r="E388" s="51" t="s">
        <v>81</v>
      </c>
      <c r="F388" s="53" t="s">
        <v>89</v>
      </c>
      <c r="G388" s="53">
        <v>3034</v>
      </c>
    </row>
    <row r="389" spans="1:7">
      <c r="A389" s="53">
        <v>85334630</v>
      </c>
      <c r="B389" s="53">
        <v>40</v>
      </c>
      <c r="C389" s="53" t="s">
        <v>85</v>
      </c>
      <c r="D389" s="53" t="s">
        <v>88</v>
      </c>
      <c r="E389" s="51" t="s">
        <v>84</v>
      </c>
      <c r="F389" s="53" t="s">
        <v>89</v>
      </c>
      <c r="G389" s="53">
        <v>5715</v>
      </c>
    </row>
    <row r="390" spans="1:7">
      <c r="A390" s="53">
        <v>81384286</v>
      </c>
      <c r="B390" s="53">
        <v>42</v>
      </c>
      <c r="C390" s="53" t="s">
        <v>83</v>
      </c>
      <c r="D390" s="53" t="s">
        <v>91</v>
      </c>
      <c r="E390" s="51" t="s">
        <v>84</v>
      </c>
      <c r="F390" s="53" t="s">
        <v>89</v>
      </c>
      <c r="G390" s="53">
        <v>2576</v>
      </c>
    </row>
    <row r="391" spans="1:7">
      <c r="A391" s="53">
        <v>86240254</v>
      </c>
      <c r="B391" s="53">
        <v>37</v>
      </c>
      <c r="C391" s="53" t="s">
        <v>83</v>
      </c>
      <c r="D391" s="53" t="s">
        <v>91</v>
      </c>
      <c r="E391" s="51" t="s">
        <v>81</v>
      </c>
      <c r="F391" s="53" t="s">
        <v>80</v>
      </c>
      <c r="G391" s="53">
        <v>4197</v>
      </c>
    </row>
    <row r="392" spans="1:7">
      <c r="A392" s="53">
        <v>89148778</v>
      </c>
      <c r="B392" s="53">
        <v>43</v>
      </c>
      <c r="C392" s="53" t="s">
        <v>83</v>
      </c>
      <c r="D392" s="53" t="s">
        <v>82</v>
      </c>
      <c r="E392" s="51" t="s">
        <v>84</v>
      </c>
      <c r="F392" s="53" t="s">
        <v>80</v>
      </c>
      <c r="G392" s="53">
        <v>14336</v>
      </c>
    </row>
    <row r="393" spans="1:7">
      <c r="A393" s="53">
        <v>80368421</v>
      </c>
      <c r="B393" s="53">
        <v>40</v>
      </c>
      <c r="C393" s="53" t="s">
        <v>83</v>
      </c>
      <c r="D393" s="53" t="s">
        <v>82</v>
      </c>
      <c r="E393" s="51" t="s">
        <v>84</v>
      </c>
      <c r="F393" s="53" t="s">
        <v>89</v>
      </c>
      <c r="G393" s="53">
        <v>3448</v>
      </c>
    </row>
    <row r="394" spans="1:7">
      <c r="A394" s="53">
        <v>86925527</v>
      </c>
      <c r="B394" s="53">
        <v>54</v>
      </c>
      <c r="C394" s="53" t="s">
        <v>83</v>
      </c>
      <c r="D394" s="53" t="s">
        <v>88</v>
      </c>
      <c r="E394" s="51" t="s">
        <v>90</v>
      </c>
      <c r="F394" s="53" t="s">
        <v>80</v>
      </c>
      <c r="G394" s="53">
        <v>19406</v>
      </c>
    </row>
    <row r="395" spans="1:7">
      <c r="A395" s="53">
        <v>87958040</v>
      </c>
      <c r="B395" s="53">
        <v>34</v>
      </c>
      <c r="C395" s="53" t="s">
        <v>85</v>
      </c>
      <c r="D395" s="53" t="s">
        <v>91</v>
      </c>
      <c r="E395" s="51" t="s">
        <v>81</v>
      </c>
      <c r="F395" s="53" t="s">
        <v>89</v>
      </c>
      <c r="G395" s="53">
        <v>6538</v>
      </c>
    </row>
    <row r="396" spans="1:7">
      <c r="A396" s="53">
        <v>89535630</v>
      </c>
      <c r="B396" s="53">
        <v>31</v>
      </c>
      <c r="C396" s="53" t="s">
        <v>83</v>
      </c>
      <c r="D396" s="53" t="s">
        <v>88</v>
      </c>
      <c r="E396" s="51" t="s">
        <v>81</v>
      </c>
      <c r="F396" s="53" t="s">
        <v>89</v>
      </c>
      <c r="G396" s="53">
        <v>4306</v>
      </c>
    </row>
    <row r="397" spans="1:7">
      <c r="A397" s="53">
        <v>80857316</v>
      </c>
      <c r="B397" s="53">
        <v>43</v>
      </c>
      <c r="C397" s="53" t="s">
        <v>83</v>
      </c>
      <c r="D397" s="53" t="s">
        <v>82</v>
      </c>
      <c r="E397" s="51" t="s">
        <v>84</v>
      </c>
      <c r="F397" s="53" t="s">
        <v>80</v>
      </c>
      <c r="G397" s="53">
        <v>2258</v>
      </c>
    </row>
    <row r="398" spans="1:7">
      <c r="A398" s="53">
        <v>81082264</v>
      </c>
      <c r="B398" s="53">
        <v>43</v>
      </c>
      <c r="C398" s="53" t="s">
        <v>83</v>
      </c>
      <c r="D398" s="53" t="s">
        <v>91</v>
      </c>
      <c r="E398" s="51" t="s">
        <v>84</v>
      </c>
      <c r="F398" s="53" t="s">
        <v>89</v>
      </c>
      <c r="G398" s="53">
        <v>4522</v>
      </c>
    </row>
    <row r="399" spans="1:7">
      <c r="A399" s="53">
        <v>87735901</v>
      </c>
      <c r="B399" s="53">
        <v>25</v>
      </c>
      <c r="C399" s="53" t="s">
        <v>85</v>
      </c>
      <c r="D399" s="53" t="s">
        <v>88</v>
      </c>
      <c r="E399" s="51" t="s">
        <v>86</v>
      </c>
      <c r="F399" s="53" t="s">
        <v>89</v>
      </c>
      <c r="G399" s="53">
        <v>4487</v>
      </c>
    </row>
    <row r="400" spans="1:7">
      <c r="A400" s="53">
        <v>84154427</v>
      </c>
      <c r="B400" s="53">
        <v>37</v>
      </c>
      <c r="C400" s="53" t="s">
        <v>83</v>
      </c>
      <c r="D400" s="53" t="s">
        <v>94</v>
      </c>
      <c r="E400" s="51" t="s">
        <v>81</v>
      </c>
      <c r="F400" s="53" t="s">
        <v>89</v>
      </c>
      <c r="G400" s="53">
        <v>4449</v>
      </c>
    </row>
    <row r="401" spans="1:7">
      <c r="A401" s="53">
        <v>82187909</v>
      </c>
      <c r="B401" s="53">
        <v>31</v>
      </c>
      <c r="C401" s="53" t="s">
        <v>83</v>
      </c>
      <c r="D401" s="53" t="s">
        <v>88</v>
      </c>
      <c r="E401" s="51" t="s">
        <v>81</v>
      </c>
      <c r="F401" s="53" t="s">
        <v>80</v>
      </c>
      <c r="G401" s="53">
        <v>2218</v>
      </c>
    </row>
    <row r="402" spans="1:7">
      <c r="A402" s="53">
        <v>81574407</v>
      </c>
      <c r="B402" s="53">
        <v>39</v>
      </c>
      <c r="C402" s="53" t="s">
        <v>83</v>
      </c>
      <c r="D402" s="53" t="s">
        <v>87</v>
      </c>
      <c r="E402" s="51" t="s">
        <v>81</v>
      </c>
      <c r="F402" s="53" t="s">
        <v>80</v>
      </c>
      <c r="G402" s="53">
        <v>19197</v>
      </c>
    </row>
    <row r="403" spans="1:7">
      <c r="A403" s="53">
        <v>86929113</v>
      </c>
      <c r="B403" s="53">
        <v>56</v>
      </c>
      <c r="C403" s="53" t="s">
        <v>85</v>
      </c>
      <c r="D403" s="53" t="s">
        <v>82</v>
      </c>
      <c r="E403" s="51" t="s">
        <v>90</v>
      </c>
      <c r="F403" s="53" t="s">
        <v>89</v>
      </c>
      <c r="G403" s="53">
        <v>13212</v>
      </c>
    </row>
    <row r="404" spans="1:7">
      <c r="A404" s="53">
        <v>85476994</v>
      </c>
      <c r="B404" s="53">
        <v>30</v>
      </c>
      <c r="C404" s="53" t="s">
        <v>85</v>
      </c>
      <c r="D404" s="53" t="s">
        <v>82</v>
      </c>
      <c r="E404" s="51" t="s">
        <v>81</v>
      </c>
      <c r="F404" s="53" t="s">
        <v>89</v>
      </c>
      <c r="G404" s="53">
        <v>6577</v>
      </c>
    </row>
    <row r="405" spans="1:7">
      <c r="A405" s="53">
        <v>80407978</v>
      </c>
      <c r="B405" s="53">
        <v>41</v>
      </c>
      <c r="C405" s="53" t="s">
        <v>85</v>
      </c>
      <c r="D405" s="53" t="s">
        <v>82</v>
      </c>
      <c r="E405" s="51" t="s">
        <v>84</v>
      </c>
      <c r="F405" s="53" t="s">
        <v>80</v>
      </c>
      <c r="G405" s="53">
        <v>8392</v>
      </c>
    </row>
    <row r="406" spans="1:7">
      <c r="A406" s="53">
        <v>80551645</v>
      </c>
      <c r="B406" s="53">
        <v>28</v>
      </c>
      <c r="C406" s="53" t="s">
        <v>83</v>
      </c>
      <c r="D406" s="53" t="s">
        <v>88</v>
      </c>
      <c r="E406" s="51" t="s">
        <v>86</v>
      </c>
      <c r="F406" s="53" t="s">
        <v>80</v>
      </c>
      <c r="G406" s="53">
        <v>4558</v>
      </c>
    </row>
    <row r="407" spans="1:7">
      <c r="A407" s="53">
        <v>80113719</v>
      </c>
      <c r="B407" s="53">
        <v>25</v>
      </c>
      <c r="C407" s="53" t="s">
        <v>83</v>
      </c>
      <c r="D407" s="53" t="s">
        <v>82</v>
      </c>
      <c r="E407" s="51" t="s">
        <v>86</v>
      </c>
      <c r="F407" s="53" t="s">
        <v>80</v>
      </c>
      <c r="G407" s="53">
        <v>4031</v>
      </c>
    </row>
    <row r="408" spans="1:7">
      <c r="A408" s="53">
        <v>88873485</v>
      </c>
      <c r="B408" s="53">
        <v>52</v>
      </c>
      <c r="C408" s="53" t="s">
        <v>83</v>
      </c>
      <c r="D408" s="53" t="s">
        <v>82</v>
      </c>
      <c r="E408" s="51" t="s">
        <v>90</v>
      </c>
      <c r="F408" s="53" t="s">
        <v>80</v>
      </c>
      <c r="G408" s="53">
        <v>7969</v>
      </c>
    </row>
    <row r="409" spans="1:7">
      <c r="A409" s="53">
        <v>80287078</v>
      </c>
      <c r="B409" s="53">
        <v>45</v>
      </c>
      <c r="C409" s="53" t="s">
        <v>83</v>
      </c>
      <c r="D409" s="53" t="s">
        <v>88</v>
      </c>
      <c r="E409" s="51" t="s">
        <v>84</v>
      </c>
      <c r="F409" s="53" t="s">
        <v>80</v>
      </c>
      <c r="G409" s="53">
        <v>2654</v>
      </c>
    </row>
    <row r="410" spans="1:7">
      <c r="A410" s="53">
        <v>84323268</v>
      </c>
      <c r="B410" s="53">
        <v>52</v>
      </c>
      <c r="C410" s="53" t="s">
        <v>83</v>
      </c>
      <c r="D410" s="53" t="s">
        <v>88</v>
      </c>
      <c r="E410" s="51" t="s">
        <v>90</v>
      </c>
      <c r="F410" s="53" t="s">
        <v>89</v>
      </c>
      <c r="G410" s="53">
        <v>16555</v>
      </c>
    </row>
    <row r="411" spans="1:7">
      <c r="A411" s="53">
        <v>84971268</v>
      </c>
      <c r="B411" s="53">
        <v>42</v>
      </c>
      <c r="C411" s="53" t="s">
        <v>83</v>
      </c>
      <c r="D411" s="53" t="s">
        <v>88</v>
      </c>
      <c r="E411" s="51" t="s">
        <v>84</v>
      </c>
      <c r="F411" s="53" t="s">
        <v>89</v>
      </c>
      <c r="G411" s="53">
        <v>4556</v>
      </c>
    </row>
    <row r="412" spans="1:7">
      <c r="A412" s="53">
        <v>87173048</v>
      </c>
      <c r="B412" s="53">
        <v>30</v>
      </c>
      <c r="C412" s="53" t="s">
        <v>83</v>
      </c>
      <c r="D412" s="53" t="s">
        <v>82</v>
      </c>
      <c r="E412" s="51" t="s">
        <v>81</v>
      </c>
      <c r="F412" s="53" t="s">
        <v>89</v>
      </c>
      <c r="G412" s="53">
        <v>6091</v>
      </c>
    </row>
    <row r="413" spans="1:7">
      <c r="A413" s="53">
        <v>83876759</v>
      </c>
      <c r="B413" s="53">
        <v>60</v>
      </c>
      <c r="C413" s="53" t="s">
        <v>83</v>
      </c>
      <c r="D413" s="53" t="s">
        <v>82</v>
      </c>
      <c r="E413" s="51" t="s">
        <v>90</v>
      </c>
      <c r="F413" s="53" t="s">
        <v>89</v>
      </c>
      <c r="G413" s="53">
        <v>19566</v>
      </c>
    </row>
    <row r="414" spans="1:7">
      <c r="A414" s="53">
        <v>88870428</v>
      </c>
      <c r="B414" s="53">
        <v>46</v>
      </c>
      <c r="C414" s="53" t="s">
        <v>83</v>
      </c>
      <c r="D414" s="53" t="s">
        <v>82</v>
      </c>
      <c r="E414" s="51" t="s">
        <v>84</v>
      </c>
      <c r="F414" s="53" t="s">
        <v>89</v>
      </c>
      <c r="G414" s="53">
        <v>4810</v>
      </c>
    </row>
    <row r="415" spans="1:7">
      <c r="A415" s="53">
        <v>88716215</v>
      </c>
      <c r="B415" s="53">
        <v>42</v>
      </c>
      <c r="C415" s="53" t="s">
        <v>83</v>
      </c>
      <c r="D415" s="53" t="s">
        <v>91</v>
      </c>
      <c r="E415" s="51" t="s">
        <v>84</v>
      </c>
      <c r="F415" s="53" t="s">
        <v>89</v>
      </c>
      <c r="G415" s="53">
        <v>4523</v>
      </c>
    </row>
    <row r="416" spans="1:7">
      <c r="A416" s="53">
        <v>80291341</v>
      </c>
      <c r="B416" s="53">
        <v>24</v>
      </c>
      <c r="C416" s="53" t="s">
        <v>85</v>
      </c>
      <c r="D416" s="53" t="s">
        <v>87</v>
      </c>
      <c r="E416" s="51" t="s">
        <v>86</v>
      </c>
      <c r="F416" s="53" t="s">
        <v>89</v>
      </c>
      <c r="G416" s="53">
        <v>3202</v>
      </c>
    </row>
    <row r="417" spans="1:7">
      <c r="A417" s="53">
        <v>86795686</v>
      </c>
      <c r="B417" s="53">
        <v>34</v>
      </c>
      <c r="C417" s="53" t="s">
        <v>85</v>
      </c>
      <c r="D417" s="53" t="s">
        <v>88</v>
      </c>
      <c r="E417" s="51" t="s">
        <v>81</v>
      </c>
      <c r="F417" s="53" t="s">
        <v>89</v>
      </c>
      <c r="G417" s="53">
        <v>2351</v>
      </c>
    </row>
    <row r="418" spans="1:7">
      <c r="A418" s="53">
        <v>89353229</v>
      </c>
      <c r="B418" s="53">
        <v>38</v>
      </c>
      <c r="C418" s="53" t="s">
        <v>83</v>
      </c>
      <c r="D418" s="53" t="s">
        <v>88</v>
      </c>
      <c r="E418" s="51" t="s">
        <v>81</v>
      </c>
      <c r="F418" s="53" t="s">
        <v>80</v>
      </c>
      <c r="G418" s="53">
        <v>1702</v>
      </c>
    </row>
    <row r="419" spans="1:7">
      <c r="A419" s="53">
        <v>84184857</v>
      </c>
      <c r="B419" s="53">
        <v>40</v>
      </c>
      <c r="C419" s="53" t="s">
        <v>85</v>
      </c>
      <c r="D419" s="53" t="s">
        <v>91</v>
      </c>
      <c r="E419" s="51" t="s">
        <v>84</v>
      </c>
      <c r="F419" s="53" t="s">
        <v>89</v>
      </c>
      <c r="G419" s="53">
        <v>18041</v>
      </c>
    </row>
    <row r="420" spans="1:7">
      <c r="A420" s="53">
        <v>85592504</v>
      </c>
      <c r="B420" s="53">
        <v>26</v>
      </c>
      <c r="C420" s="53" t="s">
        <v>83</v>
      </c>
      <c r="D420" s="53" t="s">
        <v>82</v>
      </c>
      <c r="E420" s="51" t="s">
        <v>86</v>
      </c>
      <c r="F420" s="53" t="s">
        <v>89</v>
      </c>
      <c r="G420" s="53">
        <v>2886</v>
      </c>
    </row>
    <row r="421" spans="1:7">
      <c r="A421" s="53">
        <v>80999477</v>
      </c>
      <c r="B421" s="53">
        <v>30</v>
      </c>
      <c r="C421" s="53" t="s">
        <v>83</v>
      </c>
      <c r="D421" s="53" t="s">
        <v>82</v>
      </c>
      <c r="E421" s="51" t="s">
        <v>81</v>
      </c>
      <c r="F421" s="53" t="s">
        <v>80</v>
      </c>
      <c r="G421" s="53">
        <v>2097</v>
      </c>
    </row>
    <row r="422" spans="1:7">
      <c r="A422" s="53">
        <v>89689187</v>
      </c>
      <c r="B422" s="53">
        <v>29</v>
      </c>
      <c r="C422" s="53" t="s">
        <v>83</v>
      </c>
      <c r="D422" s="53" t="s">
        <v>91</v>
      </c>
      <c r="E422" s="51" t="s">
        <v>86</v>
      </c>
      <c r="F422" s="53" t="s">
        <v>80</v>
      </c>
      <c r="G422" s="53">
        <v>11935</v>
      </c>
    </row>
    <row r="423" spans="1:7">
      <c r="A423" s="53">
        <v>86893574</v>
      </c>
      <c r="B423" s="53">
        <v>29</v>
      </c>
      <c r="C423" s="53" t="s">
        <v>83</v>
      </c>
      <c r="D423" s="53" t="s">
        <v>94</v>
      </c>
      <c r="E423" s="51" t="s">
        <v>86</v>
      </c>
      <c r="F423" s="53" t="s">
        <v>89</v>
      </c>
      <c r="G423" s="53">
        <v>2546</v>
      </c>
    </row>
    <row r="424" spans="1:7">
      <c r="A424" s="53">
        <v>83004534</v>
      </c>
      <c r="B424" s="53">
        <v>23</v>
      </c>
      <c r="C424" s="53" t="s">
        <v>93</v>
      </c>
      <c r="D424" s="53" t="s">
        <v>88</v>
      </c>
      <c r="E424" s="51" t="s">
        <v>95</v>
      </c>
      <c r="F424" s="53" t="s">
        <v>80</v>
      </c>
      <c r="G424" s="53">
        <v>2564</v>
      </c>
    </row>
    <row r="425" spans="1:7">
      <c r="A425" s="53">
        <v>88633181</v>
      </c>
      <c r="B425" s="53">
        <v>30</v>
      </c>
      <c r="C425" s="53" t="s">
        <v>85</v>
      </c>
      <c r="D425" s="53" t="s">
        <v>91</v>
      </c>
      <c r="E425" s="51" t="s">
        <v>81</v>
      </c>
      <c r="F425" s="53" t="s">
        <v>89</v>
      </c>
      <c r="G425" s="53">
        <v>8412</v>
      </c>
    </row>
    <row r="426" spans="1:7">
      <c r="A426" s="53">
        <v>85089747</v>
      </c>
      <c r="B426" s="53">
        <v>57</v>
      </c>
      <c r="C426" s="53" t="s">
        <v>85</v>
      </c>
      <c r="D426" s="53" t="s">
        <v>82</v>
      </c>
      <c r="E426" s="51" t="s">
        <v>90</v>
      </c>
      <c r="F426" s="53" t="s">
        <v>80</v>
      </c>
      <c r="G426" s="53">
        <v>14118</v>
      </c>
    </row>
    <row r="427" spans="1:7">
      <c r="A427" s="53">
        <v>86286827</v>
      </c>
      <c r="B427" s="53">
        <v>50</v>
      </c>
      <c r="C427" s="53" t="s">
        <v>83</v>
      </c>
      <c r="D427" s="53" t="s">
        <v>91</v>
      </c>
      <c r="E427" s="51" t="s">
        <v>90</v>
      </c>
      <c r="F427" s="53" t="s">
        <v>80</v>
      </c>
      <c r="G427" s="53">
        <v>17046</v>
      </c>
    </row>
    <row r="428" spans="1:7">
      <c r="A428" s="53">
        <v>88659797</v>
      </c>
      <c r="B428" s="53">
        <v>30</v>
      </c>
      <c r="C428" s="53" t="s">
        <v>83</v>
      </c>
      <c r="D428" s="53" t="s">
        <v>82</v>
      </c>
      <c r="E428" s="51" t="s">
        <v>81</v>
      </c>
      <c r="F428" s="53" t="s">
        <v>89</v>
      </c>
      <c r="G428" s="53">
        <v>2564</v>
      </c>
    </row>
    <row r="429" spans="1:7">
      <c r="A429" s="53">
        <v>88372409</v>
      </c>
      <c r="B429" s="53">
        <v>60</v>
      </c>
      <c r="C429" s="53" t="s">
        <v>85</v>
      </c>
      <c r="D429" s="53" t="s">
        <v>82</v>
      </c>
      <c r="E429" s="51" t="s">
        <v>90</v>
      </c>
      <c r="F429" s="53" t="s">
        <v>89</v>
      </c>
      <c r="G429" s="53">
        <v>10266</v>
      </c>
    </row>
    <row r="430" spans="1:7">
      <c r="A430" s="53">
        <v>85678770</v>
      </c>
      <c r="B430" s="53">
        <v>47</v>
      </c>
      <c r="C430" s="53" t="s">
        <v>83</v>
      </c>
      <c r="D430" s="53" t="s">
        <v>88</v>
      </c>
      <c r="E430" s="51" t="s">
        <v>84</v>
      </c>
      <c r="F430" s="53" t="s">
        <v>89</v>
      </c>
      <c r="G430" s="53">
        <v>5070</v>
      </c>
    </row>
    <row r="431" spans="1:7">
      <c r="A431" s="53">
        <v>80287223</v>
      </c>
      <c r="B431" s="53">
        <v>46</v>
      </c>
      <c r="C431" s="53" t="s">
        <v>83</v>
      </c>
      <c r="D431" s="53" t="s">
        <v>82</v>
      </c>
      <c r="E431" s="51" t="s">
        <v>84</v>
      </c>
      <c r="F431" s="53" t="s">
        <v>80</v>
      </c>
      <c r="G431" s="53">
        <v>17861</v>
      </c>
    </row>
    <row r="432" spans="1:7">
      <c r="A432" s="53">
        <v>86970050</v>
      </c>
      <c r="B432" s="53">
        <v>35</v>
      </c>
      <c r="C432" s="53" t="s">
        <v>83</v>
      </c>
      <c r="D432" s="53" t="s">
        <v>82</v>
      </c>
      <c r="E432" s="51" t="s">
        <v>81</v>
      </c>
      <c r="F432" s="53" t="s">
        <v>80</v>
      </c>
      <c r="G432" s="53">
        <v>4230</v>
      </c>
    </row>
    <row r="433" spans="1:7">
      <c r="A433" s="53">
        <v>80952248</v>
      </c>
      <c r="B433" s="53">
        <v>54</v>
      </c>
      <c r="C433" s="53" t="s">
        <v>83</v>
      </c>
      <c r="D433" s="53" t="s">
        <v>91</v>
      </c>
      <c r="E433" s="51" t="s">
        <v>90</v>
      </c>
      <c r="F433" s="53" t="s">
        <v>89</v>
      </c>
      <c r="G433" s="53">
        <v>3780</v>
      </c>
    </row>
    <row r="434" spans="1:7">
      <c r="A434" s="53">
        <v>83716091</v>
      </c>
      <c r="B434" s="53">
        <v>34</v>
      </c>
      <c r="C434" s="53" t="s">
        <v>83</v>
      </c>
      <c r="D434" s="53" t="s">
        <v>91</v>
      </c>
      <c r="E434" s="51" t="s">
        <v>81</v>
      </c>
      <c r="F434" s="53" t="s">
        <v>80</v>
      </c>
      <c r="G434" s="53">
        <v>2768</v>
      </c>
    </row>
    <row r="435" spans="1:7">
      <c r="A435" s="53">
        <v>85371027</v>
      </c>
      <c r="B435" s="53">
        <v>46</v>
      </c>
      <c r="C435" s="53" t="s">
        <v>85</v>
      </c>
      <c r="D435" s="53" t="s">
        <v>82</v>
      </c>
      <c r="E435" s="51" t="s">
        <v>84</v>
      </c>
      <c r="F435" s="53" t="s">
        <v>89</v>
      </c>
      <c r="G435" s="53">
        <v>9071</v>
      </c>
    </row>
    <row r="436" spans="1:7">
      <c r="A436" s="53">
        <v>85785060</v>
      </c>
      <c r="B436" s="53">
        <v>31</v>
      </c>
      <c r="C436" s="53" t="s">
        <v>83</v>
      </c>
      <c r="D436" s="53" t="s">
        <v>87</v>
      </c>
      <c r="E436" s="51" t="s">
        <v>81</v>
      </c>
      <c r="F436" s="53" t="s">
        <v>80</v>
      </c>
      <c r="G436" s="53">
        <v>10648</v>
      </c>
    </row>
    <row r="437" spans="1:7">
      <c r="A437" s="53">
        <v>80424122</v>
      </c>
      <c r="B437" s="53">
        <v>33</v>
      </c>
      <c r="C437" s="53" t="s">
        <v>83</v>
      </c>
      <c r="D437" s="53" t="s">
        <v>87</v>
      </c>
      <c r="E437" s="51" t="s">
        <v>81</v>
      </c>
      <c r="F437" s="53" t="s">
        <v>80</v>
      </c>
      <c r="G437" s="53">
        <v>13610</v>
      </c>
    </row>
    <row r="438" spans="1:7">
      <c r="A438" s="53">
        <v>87932983</v>
      </c>
      <c r="B438" s="53">
        <v>33</v>
      </c>
      <c r="C438" s="53" t="s">
        <v>83</v>
      </c>
      <c r="D438" s="53" t="s">
        <v>87</v>
      </c>
      <c r="E438" s="51" t="s">
        <v>81</v>
      </c>
      <c r="F438" s="53" t="s">
        <v>80</v>
      </c>
      <c r="G438" s="53">
        <v>3408</v>
      </c>
    </row>
    <row r="439" spans="1:7">
      <c r="A439" s="53">
        <v>87516382</v>
      </c>
      <c r="B439" s="53">
        <v>30</v>
      </c>
      <c r="C439" s="53" t="s">
        <v>85</v>
      </c>
      <c r="D439" s="53" t="s">
        <v>87</v>
      </c>
      <c r="E439" s="51" t="s">
        <v>81</v>
      </c>
      <c r="F439" s="53" t="s">
        <v>80</v>
      </c>
      <c r="G439" s="53">
        <v>2983</v>
      </c>
    </row>
    <row r="440" spans="1:7">
      <c r="A440" s="53">
        <v>89203951</v>
      </c>
      <c r="B440" s="53">
        <v>35</v>
      </c>
      <c r="C440" s="53" t="s">
        <v>83</v>
      </c>
      <c r="D440" s="53" t="s">
        <v>82</v>
      </c>
      <c r="E440" s="51" t="s">
        <v>81</v>
      </c>
      <c r="F440" s="53" t="s">
        <v>80</v>
      </c>
      <c r="G440" s="53">
        <v>7632</v>
      </c>
    </row>
    <row r="441" spans="1:7">
      <c r="A441" s="53">
        <v>83162016</v>
      </c>
      <c r="B441" s="53">
        <v>31</v>
      </c>
      <c r="C441" s="53" t="s">
        <v>83</v>
      </c>
      <c r="D441" s="53" t="s">
        <v>82</v>
      </c>
      <c r="E441" s="51" t="s">
        <v>81</v>
      </c>
      <c r="F441" s="53" t="s">
        <v>80</v>
      </c>
      <c r="G441" s="53">
        <v>9824</v>
      </c>
    </row>
    <row r="442" spans="1:7">
      <c r="A442" s="53">
        <v>84809307</v>
      </c>
      <c r="B442" s="53">
        <v>34</v>
      </c>
      <c r="C442" s="53" t="s">
        <v>93</v>
      </c>
      <c r="D442" s="53" t="s">
        <v>82</v>
      </c>
      <c r="E442" s="51" t="s">
        <v>81</v>
      </c>
      <c r="F442" s="53" t="s">
        <v>89</v>
      </c>
      <c r="G442" s="53">
        <v>9950</v>
      </c>
    </row>
    <row r="443" spans="1:7">
      <c r="A443" s="53">
        <v>87747479</v>
      </c>
      <c r="B443" s="53">
        <v>42</v>
      </c>
      <c r="C443" s="53" t="s">
        <v>83</v>
      </c>
      <c r="D443" s="53" t="s">
        <v>88</v>
      </c>
      <c r="E443" s="51" t="s">
        <v>84</v>
      </c>
      <c r="F443" s="53" t="s">
        <v>80</v>
      </c>
      <c r="G443" s="53">
        <v>2093</v>
      </c>
    </row>
    <row r="444" spans="1:7">
      <c r="A444" s="53">
        <v>80616341</v>
      </c>
      <c r="B444" s="53">
        <v>36</v>
      </c>
      <c r="C444" s="53" t="s">
        <v>85</v>
      </c>
      <c r="D444" s="53" t="s">
        <v>91</v>
      </c>
      <c r="E444" s="51" t="s">
        <v>81</v>
      </c>
      <c r="F444" s="53" t="s">
        <v>80</v>
      </c>
      <c r="G444" s="53">
        <v>9980</v>
      </c>
    </row>
    <row r="445" spans="1:7">
      <c r="A445" s="53">
        <v>84352463</v>
      </c>
      <c r="B445" s="53">
        <v>22</v>
      </c>
      <c r="C445" s="53" t="s">
        <v>83</v>
      </c>
      <c r="D445" s="53" t="s">
        <v>87</v>
      </c>
      <c r="E445" s="51" t="s">
        <v>86</v>
      </c>
      <c r="F445" s="53" t="s">
        <v>80</v>
      </c>
      <c r="G445" s="53">
        <v>3894</v>
      </c>
    </row>
    <row r="446" spans="1:7">
      <c r="A446" s="53">
        <v>84906494</v>
      </c>
      <c r="B446" s="53">
        <v>48</v>
      </c>
      <c r="C446" s="53" t="s">
        <v>85</v>
      </c>
      <c r="D446" s="53" t="s">
        <v>94</v>
      </c>
      <c r="E446" s="51" t="s">
        <v>84</v>
      </c>
      <c r="F446" s="53" t="s">
        <v>89</v>
      </c>
      <c r="G446" s="53">
        <v>4051</v>
      </c>
    </row>
    <row r="447" spans="1:7">
      <c r="A447" s="53">
        <v>88817534</v>
      </c>
      <c r="B447" s="53">
        <v>55</v>
      </c>
      <c r="C447" s="53" t="s">
        <v>85</v>
      </c>
      <c r="D447" s="53" t="s">
        <v>94</v>
      </c>
      <c r="E447" s="51" t="s">
        <v>90</v>
      </c>
      <c r="F447" s="53" t="s">
        <v>89</v>
      </c>
      <c r="G447" s="53">
        <v>16835</v>
      </c>
    </row>
    <row r="448" spans="1:7">
      <c r="A448" s="53">
        <v>82483257</v>
      </c>
      <c r="B448" s="53">
        <v>41</v>
      </c>
      <c r="C448" s="53" t="s">
        <v>85</v>
      </c>
      <c r="D448" s="53" t="s">
        <v>88</v>
      </c>
      <c r="E448" s="51" t="s">
        <v>84</v>
      </c>
      <c r="F448" s="53" t="s">
        <v>80</v>
      </c>
      <c r="G448" s="53">
        <v>6230</v>
      </c>
    </row>
    <row r="449" spans="1:7">
      <c r="A449" s="53">
        <v>87810258</v>
      </c>
      <c r="B449" s="53">
        <v>35</v>
      </c>
      <c r="C449" s="53" t="s">
        <v>85</v>
      </c>
      <c r="D449" s="53" t="s">
        <v>82</v>
      </c>
      <c r="E449" s="51" t="s">
        <v>81</v>
      </c>
      <c r="F449" s="53" t="s">
        <v>80</v>
      </c>
      <c r="G449" s="53">
        <v>4717</v>
      </c>
    </row>
    <row r="450" spans="1:7">
      <c r="A450" s="53">
        <v>84753004</v>
      </c>
      <c r="B450" s="53">
        <v>40</v>
      </c>
      <c r="C450" s="53" t="s">
        <v>83</v>
      </c>
      <c r="D450" s="53" t="s">
        <v>82</v>
      </c>
      <c r="E450" s="51" t="s">
        <v>84</v>
      </c>
      <c r="F450" s="53" t="s">
        <v>89</v>
      </c>
      <c r="G450" s="53">
        <v>13237</v>
      </c>
    </row>
    <row r="451" spans="1:7">
      <c r="A451" s="53">
        <v>81836521</v>
      </c>
      <c r="B451" s="53">
        <v>39</v>
      </c>
      <c r="C451" s="53" t="s">
        <v>83</v>
      </c>
      <c r="D451" s="53" t="s">
        <v>87</v>
      </c>
      <c r="E451" s="51" t="s">
        <v>81</v>
      </c>
      <c r="F451" s="53" t="s">
        <v>89</v>
      </c>
      <c r="G451" s="53">
        <v>3755</v>
      </c>
    </row>
    <row r="452" spans="1:7">
      <c r="A452" s="53">
        <v>83123664</v>
      </c>
      <c r="B452" s="53">
        <v>31</v>
      </c>
      <c r="C452" s="53" t="s">
        <v>85</v>
      </c>
      <c r="D452" s="53" t="s">
        <v>87</v>
      </c>
      <c r="E452" s="51" t="s">
        <v>81</v>
      </c>
      <c r="F452" s="53" t="s">
        <v>80</v>
      </c>
      <c r="G452" s="53">
        <v>6582</v>
      </c>
    </row>
    <row r="453" spans="1:7">
      <c r="A453" s="53">
        <v>80084946</v>
      </c>
      <c r="B453" s="53">
        <v>42</v>
      </c>
      <c r="C453" s="53" t="s">
        <v>83</v>
      </c>
      <c r="D453" s="53" t="s">
        <v>82</v>
      </c>
      <c r="E453" s="51" t="s">
        <v>84</v>
      </c>
      <c r="F453" s="53" t="s">
        <v>80</v>
      </c>
      <c r="G453" s="53">
        <v>7406</v>
      </c>
    </row>
    <row r="454" spans="1:7">
      <c r="A454" s="53">
        <v>87069035</v>
      </c>
      <c r="B454" s="53">
        <v>45</v>
      </c>
      <c r="C454" s="53" t="s">
        <v>85</v>
      </c>
      <c r="D454" s="53" t="s">
        <v>82</v>
      </c>
      <c r="E454" s="51" t="s">
        <v>84</v>
      </c>
      <c r="F454" s="53" t="s">
        <v>80</v>
      </c>
      <c r="G454" s="53">
        <v>4805</v>
      </c>
    </row>
    <row r="455" spans="1:7">
      <c r="A455" s="53">
        <v>83534281</v>
      </c>
      <c r="B455" s="53">
        <v>26</v>
      </c>
      <c r="C455" s="53" t="s">
        <v>93</v>
      </c>
      <c r="D455" s="53" t="s">
        <v>91</v>
      </c>
      <c r="E455" s="51" t="s">
        <v>86</v>
      </c>
      <c r="F455" s="53" t="s">
        <v>89</v>
      </c>
      <c r="G455" s="53">
        <v>2741</v>
      </c>
    </row>
    <row r="456" spans="1:7">
      <c r="A456" s="53">
        <v>87800905</v>
      </c>
      <c r="B456" s="53">
        <v>29</v>
      </c>
      <c r="C456" s="53" t="s">
        <v>83</v>
      </c>
      <c r="D456" s="53" t="s">
        <v>82</v>
      </c>
      <c r="E456" s="51" t="s">
        <v>86</v>
      </c>
      <c r="F456" s="53" t="s">
        <v>80</v>
      </c>
      <c r="G456" s="53">
        <v>4262</v>
      </c>
    </row>
    <row r="457" spans="1:7">
      <c r="A457" s="53">
        <v>81645205</v>
      </c>
      <c r="B457" s="53">
        <v>33</v>
      </c>
      <c r="C457" s="53" t="s">
        <v>83</v>
      </c>
      <c r="D457" s="53" t="s">
        <v>94</v>
      </c>
      <c r="E457" s="51" t="s">
        <v>81</v>
      </c>
      <c r="F457" s="53" t="s">
        <v>89</v>
      </c>
      <c r="G457" s="53">
        <v>16184</v>
      </c>
    </row>
    <row r="458" spans="1:7">
      <c r="A458" s="53">
        <v>85574634</v>
      </c>
      <c r="B458" s="53">
        <v>31</v>
      </c>
      <c r="C458" s="53" t="s">
        <v>85</v>
      </c>
      <c r="D458" s="53" t="s">
        <v>82</v>
      </c>
      <c r="E458" s="51" t="s">
        <v>81</v>
      </c>
      <c r="F458" s="53" t="s">
        <v>80</v>
      </c>
      <c r="G458" s="53">
        <v>11557</v>
      </c>
    </row>
    <row r="459" spans="1:7">
      <c r="A459" s="53">
        <v>88223700</v>
      </c>
      <c r="B459" s="53">
        <v>24</v>
      </c>
      <c r="C459" s="53" t="s">
        <v>85</v>
      </c>
      <c r="D459" s="53" t="s">
        <v>82</v>
      </c>
      <c r="E459" s="51" t="s">
        <v>95</v>
      </c>
      <c r="F459" s="53" t="s">
        <v>80</v>
      </c>
      <c r="G459" s="53">
        <v>1878</v>
      </c>
    </row>
    <row r="460" spans="1:7">
      <c r="A460" s="53">
        <v>85387011</v>
      </c>
      <c r="B460" s="53">
        <v>40</v>
      </c>
      <c r="C460" s="53" t="s">
        <v>85</v>
      </c>
      <c r="D460" s="53" t="s">
        <v>82</v>
      </c>
      <c r="E460" s="51" t="s">
        <v>84</v>
      </c>
      <c r="F460" s="53" t="s">
        <v>80</v>
      </c>
      <c r="G460" s="53">
        <v>10932</v>
      </c>
    </row>
    <row r="461" spans="1:7">
      <c r="A461" s="53">
        <v>80014722</v>
      </c>
      <c r="B461" s="53">
        <v>41</v>
      </c>
      <c r="C461" s="53" t="s">
        <v>83</v>
      </c>
      <c r="D461" s="53" t="s">
        <v>91</v>
      </c>
      <c r="E461" s="51" t="s">
        <v>84</v>
      </c>
      <c r="F461" s="53" t="s">
        <v>89</v>
      </c>
      <c r="G461" s="53">
        <v>6811</v>
      </c>
    </row>
    <row r="462" spans="1:7">
      <c r="A462" s="53">
        <v>81719350</v>
      </c>
      <c r="B462" s="53">
        <v>26</v>
      </c>
      <c r="C462" s="53" t="s">
        <v>85</v>
      </c>
      <c r="D462" s="53" t="s">
        <v>88</v>
      </c>
      <c r="E462" s="51" t="s">
        <v>86</v>
      </c>
      <c r="F462" s="53" t="s">
        <v>80</v>
      </c>
      <c r="G462" s="53">
        <v>4306</v>
      </c>
    </row>
    <row r="463" spans="1:7">
      <c r="A463" s="53">
        <v>86504839</v>
      </c>
      <c r="B463" s="53">
        <v>35</v>
      </c>
      <c r="C463" s="53" t="s">
        <v>85</v>
      </c>
      <c r="D463" s="53" t="s">
        <v>82</v>
      </c>
      <c r="E463" s="51" t="s">
        <v>81</v>
      </c>
      <c r="F463" s="53" t="s">
        <v>89</v>
      </c>
      <c r="G463" s="53">
        <v>4859</v>
      </c>
    </row>
    <row r="464" spans="1:7">
      <c r="A464" s="53">
        <v>85469393</v>
      </c>
      <c r="B464" s="53">
        <v>34</v>
      </c>
      <c r="C464" s="53" t="s">
        <v>85</v>
      </c>
      <c r="D464" s="53" t="s">
        <v>91</v>
      </c>
      <c r="E464" s="51" t="s">
        <v>81</v>
      </c>
      <c r="F464" s="53" t="s">
        <v>80</v>
      </c>
      <c r="G464" s="53">
        <v>5337</v>
      </c>
    </row>
    <row r="465" spans="1:7">
      <c r="A465" s="53">
        <v>87850717</v>
      </c>
      <c r="B465" s="53">
        <v>26</v>
      </c>
      <c r="C465" s="53" t="s">
        <v>83</v>
      </c>
      <c r="D465" s="53" t="s">
        <v>82</v>
      </c>
      <c r="E465" s="51" t="s">
        <v>86</v>
      </c>
      <c r="F465" s="53" t="s">
        <v>80</v>
      </c>
      <c r="G465" s="53">
        <v>2340</v>
      </c>
    </row>
    <row r="466" spans="1:7">
      <c r="A466" s="53">
        <v>84437230</v>
      </c>
      <c r="B466" s="53">
        <v>37</v>
      </c>
      <c r="C466" s="53" t="s">
        <v>83</v>
      </c>
      <c r="D466" s="53" t="s">
        <v>82</v>
      </c>
      <c r="E466" s="51" t="s">
        <v>81</v>
      </c>
      <c r="F466" s="53" t="s">
        <v>89</v>
      </c>
      <c r="G466" s="53">
        <v>7491</v>
      </c>
    </row>
    <row r="467" spans="1:7">
      <c r="A467" s="53">
        <v>80105552</v>
      </c>
      <c r="B467" s="53">
        <v>46</v>
      </c>
      <c r="C467" s="53" t="s">
        <v>83</v>
      </c>
      <c r="D467" s="53" t="s">
        <v>87</v>
      </c>
      <c r="E467" s="51" t="s">
        <v>84</v>
      </c>
      <c r="F467" s="53" t="s">
        <v>89</v>
      </c>
      <c r="G467" s="53">
        <v>10527</v>
      </c>
    </row>
    <row r="468" spans="1:7">
      <c r="A468" s="53">
        <v>81384914</v>
      </c>
      <c r="B468" s="53">
        <v>41</v>
      </c>
      <c r="C468" s="53" t="s">
        <v>85</v>
      </c>
      <c r="D468" s="53" t="s">
        <v>94</v>
      </c>
      <c r="E468" s="51" t="s">
        <v>84</v>
      </c>
      <c r="F468" s="53" t="s">
        <v>89</v>
      </c>
      <c r="G468" s="53">
        <v>16595</v>
      </c>
    </row>
    <row r="469" spans="1:7">
      <c r="A469" s="53">
        <v>86431519</v>
      </c>
      <c r="B469" s="53">
        <v>37</v>
      </c>
      <c r="C469" s="53" t="s">
        <v>85</v>
      </c>
      <c r="D469" s="53" t="s">
        <v>91</v>
      </c>
      <c r="E469" s="51" t="s">
        <v>81</v>
      </c>
      <c r="F469" s="53" t="s">
        <v>80</v>
      </c>
      <c r="G469" s="53">
        <v>8834</v>
      </c>
    </row>
    <row r="470" spans="1:7">
      <c r="A470" s="53">
        <v>80342192</v>
      </c>
      <c r="B470" s="53">
        <v>52</v>
      </c>
      <c r="C470" s="53" t="s">
        <v>83</v>
      </c>
      <c r="D470" s="53" t="s">
        <v>88</v>
      </c>
      <c r="E470" s="51" t="s">
        <v>90</v>
      </c>
      <c r="F470" s="53" t="s">
        <v>80</v>
      </c>
      <c r="G470" s="53">
        <v>5577</v>
      </c>
    </row>
    <row r="471" spans="1:7">
      <c r="A471" s="53">
        <v>87700018</v>
      </c>
      <c r="B471" s="53">
        <v>32</v>
      </c>
      <c r="C471" s="53" t="s">
        <v>85</v>
      </c>
      <c r="D471" s="53" t="s">
        <v>91</v>
      </c>
      <c r="E471" s="51" t="s">
        <v>81</v>
      </c>
      <c r="F471" s="53" t="s">
        <v>80</v>
      </c>
      <c r="G471" s="53">
        <v>4707</v>
      </c>
    </row>
    <row r="472" spans="1:7">
      <c r="A472" s="53">
        <v>85271359</v>
      </c>
      <c r="B472" s="53">
        <v>24</v>
      </c>
      <c r="C472" s="53" t="s">
        <v>85</v>
      </c>
      <c r="D472" s="53" t="s">
        <v>82</v>
      </c>
      <c r="E472" s="51" t="s">
        <v>86</v>
      </c>
      <c r="F472" s="53" t="s">
        <v>80</v>
      </c>
      <c r="G472" s="53">
        <v>2400</v>
      </c>
    </row>
    <row r="473" spans="1:7">
      <c r="A473" s="53">
        <v>81144675</v>
      </c>
      <c r="B473" s="53">
        <v>38</v>
      </c>
      <c r="C473" s="53" t="s">
        <v>83</v>
      </c>
      <c r="D473" s="53" t="s">
        <v>82</v>
      </c>
      <c r="E473" s="51" t="s">
        <v>81</v>
      </c>
      <c r="F473" s="53" t="s">
        <v>89</v>
      </c>
      <c r="G473" s="53">
        <v>9824</v>
      </c>
    </row>
    <row r="474" spans="1:7">
      <c r="A474" s="53">
        <v>82247515</v>
      </c>
      <c r="B474" s="53">
        <v>37</v>
      </c>
      <c r="C474" s="53" t="s">
        <v>83</v>
      </c>
      <c r="D474" s="53" t="s">
        <v>91</v>
      </c>
      <c r="E474" s="51" t="s">
        <v>81</v>
      </c>
      <c r="F474" s="53" t="s">
        <v>89</v>
      </c>
      <c r="G474" s="53">
        <v>6447</v>
      </c>
    </row>
    <row r="475" spans="1:7">
      <c r="A475" s="53">
        <v>81607550</v>
      </c>
      <c r="B475" s="53">
        <v>49</v>
      </c>
      <c r="C475" s="53" t="s">
        <v>83</v>
      </c>
      <c r="D475" s="53" t="s">
        <v>91</v>
      </c>
      <c r="E475" s="51" t="s">
        <v>84</v>
      </c>
      <c r="F475" s="53" t="s">
        <v>80</v>
      </c>
      <c r="G475" s="53">
        <v>19502</v>
      </c>
    </row>
    <row r="476" spans="1:7">
      <c r="A476" s="53">
        <v>82860823</v>
      </c>
      <c r="B476" s="53">
        <v>24</v>
      </c>
      <c r="C476" s="53" t="s">
        <v>83</v>
      </c>
      <c r="D476" s="53" t="s">
        <v>82</v>
      </c>
      <c r="E476" s="51" t="s">
        <v>86</v>
      </c>
      <c r="F476" s="53" t="s">
        <v>80</v>
      </c>
      <c r="G476" s="53">
        <v>2725</v>
      </c>
    </row>
    <row r="477" spans="1:7">
      <c r="A477" s="53">
        <v>81781442</v>
      </c>
      <c r="B477" s="53">
        <v>26</v>
      </c>
      <c r="C477" s="53" t="s">
        <v>85</v>
      </c>
      <c r="D477" s="53" t="s">
        <v>88</v>
      </c>
      <c r="E477" s="51" t="s">
        <v>86</v>
      </c>
      <c r="F477" s="53" t="s">
        <v>80</v>
      </c>
      <c r="G477" s="53">
        <v>6272</v>
      </c>
    </row>
    <row r="478" spans="1:7">
      <c r="A478" s="53">
        <v>80344533</v>
      </c>
      <c r="B478" s="53">
        <v>24</v>
      </c>
      <c r="C478" s="53" t="s">
        <v>83</v>
      </c>
      <c r="D478" s="53" t="s">
        <v>88</v>
      </c>
      <c r="E478" s="51" t="s">
        <v>86</v>
      </c>
      <c r="F478" s="53" t="s">
        <v>80</v>
      </c>
      <c r="G478" s="53">
        <v>2127</v>
      </c>
    </row>
    <row r="479" spans="1:7">
      <c r="A479" s="53">
        <v>83596463</v>
      </c>
      <c r="B479" s="53">
        <v>50</v>
      </c>
      <c r="C479" s="53" t="s">
        <v>93</v>
      </c>
      <c r="D479" s="53" t="s">
        <v>82</v>
      </c>
      <c r="E479" s="51" t="s">
        <v>90</v>
      </c>
      <c r="F479" s="53" t="s">
        <v>80</v>
      </c>
      <c r="G479" s="53">
        <v>18200</v>
      </c>
    </row>
    <row r="480" spans="1:7">
      <c r="A480" s="53">
        <v>80571061</v>
      </c>
      <c r="B480" s="53">
        <v>25</v>
      </c>
      <c r="C480" s="53" t="s">
        <v>85</v>
      </c>
      <c r="D480" s="53" t="s">
        <v>87</v>
      </c>
      <c r="E480" s="51" t="s">
        <v>86</v>
      </c>
      <c r="F480" s="53" t="s">
        <v>80</v>
      </c>
      <c r="G480" s="53">
        <v>2096</v>
      </c>
    </row>
    <row r="481" spans="1:7">
      <c r="A481" s="53">
        <v>88838701</v>
      </c>
      <c r="B481" s="53">
        <v>24</v>
      </c>
      <c r="C481" s="53" t="s">
        <v>83</v>
      </c>
      <c r="D481" s="53" t="s">
        <v>82</v>
      </c>
      <c r="E481" s="51" t="s">
        <v>86</v>
      </c>
      <c r="F481" s="53" t="s">
        <v>89</v>
      </c>
      <c r="G481" s="53">
        <v>2886</v>
      </c>
    </row>
    <row r="482" spans="1:7">
      <c r="A482" s="53">
        <v>82348701</v>
      </c>
      <c r="B482" s="53">
        <v>30</v>
      </c>
      <c r="C482" s="53" t="s">
        <v>85</v>
      </c>
      <c r="D482" s="53" t="s">
        <v>91</v>
      </c>
      <c r="E482" s="51" t="s">
        <v>81</v>
      </c>
      <c r="F482" s="53" t="s">
        <v>80</v>
      </c>
      <c r="G482" s="53">
        <v>2033</v>
      </c>
    </row>
    <row r="483" spans="1:7">
      <c r="A483" s="53">
        <v>86685337</v>
      </c>
      <c r="B483" s="53">
        <v>34</v>
      </c>
      <c r="C483" s="53" t="s">
        <v>83</v>
      </c>
      <c r="D483" s="53" t="s">
        <v>88</v>
      </c>
      <c r="E483" s="51" t="s">
        <v>81</v>
      </c>
      <c r="F483" s="53" t="s">
        <v>80</v>
      </c>
      <c r="G483" s="53">
        <v>3622</v>
      </c>
    </row>
    <row r="484" spans="1:7">
      <c r="A484" s="53">
        <v>83582825</v>
      </c>
      <c r="B484" s="53">
        <v>31</v>
      </c>
      <c r="C484" s="53" t="s">
        <v>85</v>
      </c>
      <c r="D484" s="53" t="s">
        <v>91</v>
      </c>
      <c r="E484" s="51" t="s">
        <v>81</v>
      </c>
      <c r="F484" s="53" t="s">
        <v>80</v>
      </c>
      <c r="G484" s="53">
        <v>4233</v>
      </c>
    </row>
    <row r="485" spans="1:7">
      <c r="A485" s="53">
        <v>84725551</v>
      </c>
      <c r="B485" s="53">
        <v>35</v>
      </c>
      <c r="C485" s="53" t="s">
        <v>83</v>
      </c>
      <c r="D485" s="53" t="s">
        <v>88</v>
      </c>
      <c r="E485" s="51" t="s">
        <v>81</v>
      </c>
      <c r="F485" s="53" t="s">
        <v>80</v>
      </c>
      <c r="G485" s="53">
        <v>3681</v>
      </c>
    </row>
    <row r="486" spans="1:7">
      <c r="A486" s="53">
        <v>83617014</v>
      </c>
      <c r="B486" s="53">
        <v>31</v>
      </c>
      <c r="C486" s="53" t="s">
        <v>85</v>
      </c>
      <c r="D486" s="53" t="s">
        <v>91</v>
      </c>
      <c r="E486" s="51" t="s">
        <v>81</v>
      </c>
      <c r="F486" s="53" t="s">
        <v>80</v>
      </c>
      <c r="G486" s="53">
        <v>5460</v>
      </c>
    </row>
    <row r="487" spans="1:7">
      <c r="A487" s="53">
        <v>84451487</v>
      </c>
      <c r="B487" s="53">
        <v>27</v>
      </c>
      <c r="C487" s="53" t="s">
        <v>83</v>
      </c>
      <c r="D487" s="53" t="s">
        <v>91</v>
      </c>
      <c r="E487" s="51" t="s">
        <v>86</v>
      </c>
      <c r="F487" s="53" t="s">
        <v>89</v>
      </c>
      <c r="G487" s="53">
        <v>2187</v>
      </c>
    </row>
    <row r="488" spans="1:7">
      <c r="A488" s="53">
        <v>87652250</v>
      </c>
      <c r="B488" s="53">
        <v>37</v>
      </c>
      <c r="C488" s="53" t="s">
        <v>85</v>
      </c>
      <c r="D488" s="53" t="s">
        <v>82</v>
      </c>
      <c r="E488" s="51" t="s">
        <v>81</v>
      </c>
      <c r="F488" s="53" t="s">
        <v>80</v>
      </c>
      <c r="G488" s="53">
        <v>9602</v>
      </c>
    </row>
    <row r="489" spans="1:7">
      <c r="A489" s="53">
        <v>83185201</v>
      </c>
      <c r="B489" s="53">
        <v>20</v>
      </c>
      <c r="C489" s="53" t="s">
        <v>83</v>
      </c>
      <c r="D489" s="53" t="s">
        <v>82</v>
      </c>
      <c r="E489" s="51" t="s">
        <v>86</v>
      </c>
      <c r="F489" s="53" t="s">
        <v>89</v>
      </c>
      <c r="G489" s="53">
        <v>2836</v>
      </c>
    </row>
    <row r="490" spans="1:7">
      <c r="A490" s="53">
        <v>85787572</v>
      </c>
      <c r="B490" s="53">
        <v>42</v>
      </c>
      <c r="C490" s="53" t="s">
        <v>83</v>
      </c>
      <c r="D490" s="53" t="s">
        <v>91</v>
      </c>
      <c r="E490" s="51" t="s">
        <v>84</v>
      </c>
      <c r="F490" s="53" t="s">
        <v>89</v>
      </c>
      <c r="G490" s="53">
        <v>4089</v>
      </c>
    </row>
    <row r="491" spans="1:7">
      <c r="A491" s="53">
        <v>83179116</v>
      </c>
      <c r="B491" s="53">
        <v>43</v>
      </c>
      <c r="C491" s="53" t="s">
        <v>83</v>
      </c>
      <c r="D491" s="53" t="s">
        <v>91</v>
      </c>
      <c r="E491" s="51" t="s">
        <v>84</v>
      </c>
      <c r="F491" s="53" t="s">
        <v>80</v>
      </c>
      <c r="G491" s="53">
        <v>16627</v>
      </c>
    </row>
    <row r="492" spans="1:7">
      <c r="A492" s="53">
        <v>84505184</v>
      </c>
      <c r="B492" s="53">
        <v>38</v>
      </c>
      <c r="C492" s="53" t="s">
        <v>83</v>
      </c>
      <c r="D492" s="53" t="s">
        <v>87</v>
      </c>
      <c r="E492" s="51" t="s">
        <v>81</v>
      </c>
      <c r="F492" s="53" t="s">
        <v>89</v>
      </c>
      <c r="G492" s="53">
        <v>2619</v>
      </c>
    </row>
    <row r="493" spans="1:7">
      <c r="A493" s="53">
        <v>80128086</v>
      </c>
      <c r="B493" s="53">
        <v>43</v>
      </c>
      <c r="C493" s="53" t="s">
        <v>83</v>
      </c>
      <c r="D493" s="53" t="s">
        <v>94</v>
      </c>
      <c r="E493" s="51" t="s">
        <v>84</v>
      </c>
      <c r="F493" s="53" t="s">
        <v>80</v>
      </c>
      <c r="G493" s="53">
        <v>5679</v>
      </c>
    </row>
    <row r="494" spans="1:7">
      <c r="A494" s="53">
        <v>81649262</v>
      </c>
      <c r="B494" s="53">
        <v>48</v>
      </c>
      <c r="C494" s="53" t="s">
        <v>83</v>
      </c>
      <c r="D494" s="53" t="s">
        <v>91</v>
      </c>
      <c r="E494" s="51" t="s">
        <v>84</v>
      </c>
      <c r="F494" s="53" t="s">
        <v>89</v>
      </c>
      <c r="G494" s="53">
        <v>15402</v>
      </c>
    </row>
    <row r="495" spans="1:7">
      <c r="A495" s="53">
        <v>85167564</v>
      </c>
      <c r="B495" s="53">
        <v>44</v>
      </c>
      <c r="C495" s="53" t="s">
        <v>93</v>
      </c>
      <c r="D495" s="53" t="s">
        <v>91</v>
      </c>
      <c r="E495" s="51" t="s">
        <v>84</v>
      </c>
      <c r="F495" s="53" t="s">
        <v>89</v>
      </c>
      <c r="G495" s="53">
        <v>5985</v>
      </c>
    </row>
    <row r="496" spans="1:7">
      <c r="A496" s="53">
        <v>80531543</v>
      </c>
      <c r="B496" s="53">
        <v>34</v>
      </c>
      <c r="C496" s="53" t="s">
        <v>85</v>
      </c>
      <c r="D496" s="53" t="s">
        <v>82</v>
      </c>
      <c r="E496" s="51" t="s">
        <v>81</v>
      </c>
      <c r="F496" s="53" t="s">
        <v>89</v>
      </c>
      <c r="G496" s="53">
        <v>2579</v>
      </c>
    </row>
    <row r="497" spans="1:7">
      <c r="A497" s="53">
        <v>81120486</v>
      </c>
      <c r="B497" s="53">
        <v>27</v>
      </c>
      <c r="C497" s="53" t="s">
        <v>85</v>
      </c>
      <c r="D497" s="53" t="s">
        <v>87</v>
      </c>
      <c r="E497" s="51" t="s">
        <v>86</v>
      </c>
      <c r="F497" s="53" t="s">
        <v>80</v>
      </c>
      <c r="G497" s="53">
        <v>3041</v>
      </c>
    </row>
    <row r="498" spans="1:7">
      <c r="A498" s="53">
        <v>81588575</v>
      </c>
      <c r="B498" s="53">
        <v>21</v>
      </c>
      <c r="C498" s="53" t="s">
        <v>85</v>
      </c>
      <c r="D498" s="53" t="s">
        <v>87</v>
      </c>
      <c r="E498" s="51" t="s">
        <v>86</v>
      </c>
      <c r="F498" s="53" t="s">
        <v>80</v>
      </c>
      <c r="G498" s="53">
        <v>3447</v>
      </c>
    </row>
    <row r="499" spans="1:7">
      <c r="A499" s="53">
        <v>88359327</v>
      </c>
      <c r="B499" s="53">
        <v>44</v>
      </c>
      <c r="C499" s="53" t="s">
        <v>83</v>
      </c>
      <c r="D499" s="53" t="s">
        <v>91</v>
      </c>
      <c r="E499" s="51" t="s">
        <v>84</v>
      </c>
      <c r="F499" s="53" t="s">
        <v>80</v>
      </c>
      <c r="G499" s="53">
        <v>19513</v>
      </c>
    </row>
    <row r="500" spans="1:7">
      <c r="A500" s="53">
        <v>86160254</v>
      </c>
      <c r="B500" s="53">
        <v>22</v>
      </c>
      <c r="C500" s="53" t="s">
        <v>83</v>
      </c>
      <c r="D500" s="53" t="s">
        <v>87</v>
      </c>
      <c r="E500" s="51" t="s">
        <v>86</v>
      </c>
      <c r="F500" s="53" t="s">
        <v>80</v>
      </c>
      <c r="G500" s="53">
        <v>2773</v>
      </c>
    </row>
    <row r="501" spans="1:7">
      <c r="A501" s="53">
        <v>83071123</v>
      </c>
      <c r="B501" s="53">
        <v>33</v>
      </c>
      <c r="C501" s="53" t="s">
        <v>85</v>
      </c>
      <c r="D501" s="53" t="s">
        <v>91</v>
      </c>
      <c r="E501" s="51" t="s">
        <v>81</v>
      </c>
      <c r="F501" s="53" t="s">
        <v>80</v>
      </c>
      <c r="G501" s="53">
        <v>7104</v>
      </c>
    </row>
    <row r="502" spans="1:7">
      <c r="A502" s="53">
        <v>84015350</v>
      </c>
      <c r="B502" s="53">
        <v>32</v>
      </c>
      <c r="C502" s="53" t="s">
        <v>83</v>
      </c>
      <c r="D502" s="53" t="s">
        <v>91</v>
      </c>
      <c r="E502" s="51" t="s">
        <v>81</v>
      </c>
      <c r="F502" s="53" t="s">
        <v>89</v>
      </c>
      <c r="G502" s="53">
        <v>6322</v>
      </c>
    </row>
    <row r="503" spans="1:7">
      <c r="A503" s="53">
        <v>88886991</v>
      </c>
      <c r="B503" s="53">
        <v>30</v>
      </c>
      <c r="C503" s="53" t="s">
        <v>83</v>
      </c>
      <c r="D503" s="53" t="s">
        <v>82</v>
      </c>
      <c r="E503" s="51" t="s">
        <v>81</v>
      </c>
      <c r="F503" s="53" t="s">
        <v>89</v>
      </c>
      <c r="G503" s="53">
        <v>2083</v>
      </c>
    </row>
    <row r="504" spans="1:7">
      <c r="A504" s="53">
        <v>85428883</v>
      </c>
      <c r="B504" s="53">
        <v>53</v>
      </c>
      <c r="C504" s="53" t="s">
        <v>85</v>
      </c>
      <c r="D504" s="53" t="s">
        <v>87</v>
      </c>
      <c r="E504" s="51" t="s">
        <v>90</v>
      </c>
      <c r="F504" s="53" t="s">
        <v>89</v>
      </c>
      <c r="G504" s="53">
        <v>8381</v>
      </c>
    </row>
    <row r="505" spans="1:7">
      <c r="A505" s="53">
        <v>84465674</v>
      </c>
      <c r="B505" s="53">
        <v>34</v>
      </c>
      <c r="C505" s="53" t="s">
        <v>83</v>
      </c>
      <c r="D505" s="53" t="s">
        <v>94</v>
      </c>
      <c r="E505" s="51" t="s">
        <v>81</v>
      </c>
      <c r="F505" s="53" t="s">
        <v>80</v>
      </c>
      <c r="G505" s="53">
        <v>2691</v>
      </c>
    </row>
    <row r="506" spans="1:7">
      <c r="A506" s="53">
        <v>83810014</v>
      </c>
      <c r="B506" s="53">
        <v>45</v>
      </c>
      <c r="C506" s="53" t="s">
        <v>85</v>
      </c>
      <c r="D506" s="53" t="s">
        <v>91</v>
      </c>
      <c r="E506" s="51" t="s">
        <v>84</v>
      </c>
      <c r="F506" s="53" t="s">
        <v>89</v>
      </c>
      <c r="G506" s="53">
        <v>4286</v>
      </c>
    </row>
    <row r="507" spans="1:7">
      <c r="A507" s="53">
        <v>83698470</v>
      </c>
      <c r="B507" s="53">
        <v>26</v>
      </c>
      <c r="C507" s="53" t="s">
        <v>83</v>
      </c>
      <c r="D507" s="53" t="s">
        <v>82</v>
      </c>
      <c r="E507" s="51" t="s">
        <v>86</v>
      </c>
      <c r="F507" s="53" t="s">
        <v>89</v>
      </c>
      <c r="G507" s="53">
        <v>2659</v>
      </c>
    </row>
    <row r="508" spans="1:7">
      <c r="A508" s="53">
        <v>81886398</v>
      </c>
      <c r="B508" s="53">
        <v>37</v>
      </c>
      <c r="C508" s="53" t="s">
        <v>83</v>
      </c>
      <c r="D508" s="53" t="s">
        <v>82</v>
      </c>
      <c r="E508" s="51" t="s">
        <v>81</v>
      </c>
      <c r="F508" s="53" t="s">
        <v>80</v>
      </c>
      <c r="G508" s="53">
        <v>9434</v>
      </c>
    </row>
    <row r="509" spans="1:7">
      <c r="A509" s="53">
        <v>81214583</v>
      </c>
      <c r="B509" s="53">
        <v>29</v>
      </c>
      <c r="C509" s="53" t="s">
        <v>85</v>
      </c>
      <c r="D509" s="53" t="s">
        <v>88</v>
      </c>
      <c r="E509" s="51" t="s">
        <v>86</v>
      </c>
      <c r="F509" s="53" t="s">
        <v>89</v>
      </c>
      <c r="G509" s="53">
        <v>5561</v>
      </c>
    </row>
    <row r="510" spans="1:7">
      <c r="A510" s="53">
        <v>80521468</v>
      </c>
      <c r="B510" s="53">
        <v>35</v>
      </c>
      <c r="C510" s="53" t="s">
        <v>83</v>
      </c>
      <c r="D510" s="53" t="s">
        <v>91</v>
      </c>
      <c r="E510" s="51" t="s">
        <v>81</v>
      </c>
      <c r="F510" s="53" t="s">
        <v>80</v>
      </c>
      <c r="G510" s="53">
        <v>6646</v>
      </c>
    </row>
    <row r="511" spans="1:7">
      <c r="A511" s="53">
        <v>88860073</v>
      </c>
      <c r="B511" s="53">
        <v>33</v>
      </c>
      <c r="C511" s="53" t="s">
        <v>83</v>
      </c>
      <c r="D511" s="53" t="s">
        <v>82</v>
      </c>
      <c r="E511" s="51" t="s">
        <v>81</v>
      </c>
      <c r="F511" s="53" t="s">
        <v>80</v>
      </c>
      <c r="G511" s="53">
        <v>7725</v>
      </c>
    </row>
    <row r="512" spans="1:7">
      <c r="A512" s="53">
        <v>84144842</v>
      </c>
      <c r="B512" s="53">
        <v>54</v>
      </c>
      <c r="C512" s="53" t="s">
        <v>93</v>
      </c>
      <c r="D512" s="53" t="s">
        <v>91</v>
      </c>
      <c r="E512" s="51" t="s">
        <v>90</v>
      </c>
      <c r="F512" s="53" t="s">
        <v>80</v>
      </c>
      <c r="G512" s="53">
        <v>10725</v>
      </c>
    </row>
    <row r="513" spans="1:7">
      <c r="A513" s="53">
        <v>83524938</v>
      </c>
      <c r="B513" s="53">
        <v>36</v>
      </c>
      <c r="C513" s="53" t="s">
        <v>83</v>
      </c>
      <c r="D513" s="53" t="s">
        <v>88</v>
      </c>
      <c r="E513" s="51" t="s">
        <v>81</v>
      </c>
      <c r="F513" s="53" t="s">
        <v>80</v>
      </c>
      <c r="G513" s="53">
        <v>8847</v>
      </c>
    </row>
    <row r="514" spans="1:7">
      <c r="A514" s="53">
        <v>85656757</v>
      </c>
      <c r="B514" s="53">
        <v>27</v>
      </c>
      <c r="C514" s="53" t="s">
        <v>83</v>
      </c>
      <c r="D514" s="53" t="s">
        <v>91</v>
      </c>
      <c r="E514" s="51" t="s">
        <v>86</v>
      </c>
      <c r="F514" s="53" t="s">
        <v>80</v>
      </c>
      <c r="G514" s="53">
        <v>2045</v>
      </c>
    </row>
    <row r="515" spans="1:7">
      <c r="A515" s="53">
        <v>89765452</v>
      </c>
      <c r="B515" s="53">
        <v>20</v>
      </c>
      <c r="C515" s="53" t="s">
        <v>83</v>
      </c>
      <c r="D515" s="53" t="s">
        <v>87</v>
      </c>
      <c r="E515" s="51" t="s">
        <v>86</v>
      </c>
      <c r="F515" s="53" t="s">
        <v>80</v>
      </c>
      <c r="G515" s="53">
        <v>1009</v>
      </c>
    </row>
    <row r="516" spans="1:7">
      <c r="A516" s="53">
        <v>86792499</v>
      </c>
      <c r="B516" s="53">
        <v>33</v>
      </c>
      <c r="C516" s="53" t="s">
        <v>83</v>
      </c>
      <c r="D516" s="53" t="s">
        <v>82</v>
      </c>
      <c r="E516" s="51" t="s">
        <v>81</v>
      </c>
      <c r="F516" s="53" t="s">
        <v>80</v>
      </c>
      <c r="G516" s="53">
        <v>3348</v>
      </c>
    </row>
    <row r="517" spans="1:7">
      <c r="A517" s="53">
        <v>86875744</v>
      </c>
      <c r="B517" s="53">
        <v>35</v>
      </c>
      <c r="C517" s="53" t="s">
        <v>83</v>
      </c>
      <c r="D517" s="53" t="s">
        <v>82</v>
      </c>
      <c r="E517" s="51" t="s">
        <v>81</v>
      </c>
      <c r="F517" s="53" t="s">
        <v>80</v>
      </c>
      <c r="G517" s="53">
        <v>1281</v>
      </c>
    </row>
    <row r="518" spans="1:7">
      <c r="A518" s="53">
        <v>88684130</v>
      </c>
      <c r="B518" s="53">
        <v>23</v>
      </c>
      <c r="C518" s="53" t="s">
        <v>83</v>
      </c>
      <c r="D518" s="53" t="s">
        <v>82</v>
      </c>
      <c r="E518" s="51" t="s">
        <v>86</v>
      </c>
      <c r="F518" s="53" t="s">
        <v>80</v>
      </c>
      <c r="G518" s="53">
        <v>2819</v>
      </c>
    </row>
    <row r="519" spans="1:7">
      <c r="A519" s="53">
        <v>86833790</v>
      </c>
      <c r="B519" s="53">
        <v>25</v>
      </c>
      <c r="C519" s="53" t="s">
        <v>85</v>
      </c>
      <c r="D519" s="53" t="s">
        <v>82</v>
      </c>
      <c r="E519" s="51" t="s">
        <v>86</v>
      </c>
      <c r="F519" s="53" t="s">
        <v>80</v>
      </c>
      <c r="G519" s="53">
        <v>4851</v>
      </c>
    </row>
    <row r="520" spans="1:7">
      <c r="A520" s="53">
        <v>84580482</v>
      </c>
      <c r="B520" s="53">
        <v>38</v>
      </c>
      <c r="C520" s="53" t="s">
        <v>85</v>
      </c>
      <c r="D520" s="53" t="s">
        <v>91</v>
      </c>
      <c r="E520" s="51" t="s">
        <v>81</v>
      </c>
      <c r="F520" s="53" t="s">
        <v>89</v>
      </c>
      <c r="G520" s="53">
        <v>4028</v>
      </c>
    </row>
    <row r="521" spans="1:7">
      <c r="A521" s="53">
        <v>89076348</v>
      </c>
      <c r="B521" s="53">
        <v>29</v>
      </c>
      <c r="C521" s="53" t="s">
        <v>83</v>
      </c>
      <c r="D521" s="53" t="s">
        <v>91</v>
      </c>
      <c r="E521" s="51" t="s">
        <v>86</v>
      </c>
      <c r="F521" s="53" t="s">
        <v>80</v>
      </c>
      <c r="G521" s="53">
        <v>2720</v>
      </c>
    </row>
    <row r="522" spans="1:7">
      <c r="A522" s="53">
        <v>82581839</v>
      </c>
      <c r="B522" s="53">
        <v>48</v>
      </c>
      <c r="C522" s="53" t="s">
        <v>85</v>
      </c>
      <c r="D522" s="53" t="s">
        <v>87</v>
      </c>
      <c r="E522" s="51" t="s">
        <v>84</v>
      </c>
      <c r="F522" s="53" t="s">
        <v>80</v>
      </c>
      <c r="G522" s="53">
        <v>8120</v>
      </c>
    </row>
    <row r="523" spans="1:7">
      <c r="A523" s="53">
        <v>87058808</v>
      </c>
      <c r="B523" s="53">
        <v>27</v>
      </c>
      <c r="C523" s="53" t="s">
        <v>85</v>
      </c>
      <c r="D523" s="53" t="s">
        <v>87</v>
      </c>
      <c r="E523" s="51" t="s">
        <v>86</v>
      </c>
      <c r="F523" s="53" t="s">
        <v>89</v>
      </c>
      <c r="G523" s="53">
        <v>4647</v>
      </c>
    </row>
    <row r="524" spans="1:7">
      <c r="A524" s="53">
        <v>86638900</v>
      </c>
      <c r="B524" s="53">
        <v>37</v>
      </c>
      <c r="C524" s="53" t="s">
        <v>83</v>
      </c>
      <c r="D524" s="53" t="s">
        <v>88</v>
      </c>
      <c r="E524" s="51" t="s">
        <v>81</v>
      </c>
      <c r="F524" s="53" t="s">
        <v>80</v>
      </c>
      <c r="G524" s="53">
        <v>4680</v>
      </c>
    </row>
    <row r="525" spans="1:7">
      <c r="A525" s="53">
        <v>82176249</v>
      </c>
      <c r="B525" s="53">
        <v>50</v>
      </c>
      <c r="C525" s="53" t="s">
        <v>83</v>
      </c>
      <c r="D525" s="53" t="s">
        <v>87</v>
      </c>
      <c r="E525" s="51" t="s">
        <v>90</v>
      </c>
      <c r="F525" s="53" t="s">
        <v>80</v>
      </c>
      <c r="G525" s="53">
        <v>3221</v>
      </c>
    </row>
    <row r="526" spans="1:7">
      <c r="A526" s="53">
        <v>84948718</v>
      </c>
      <c r="B526" s="53">
        <v>34</v>
      </c>
      <c r="C526" s="53" t="s">
        <v>83</v>
      </c>
      <c r="D526" s="53" t="s">
        <v>82</v>
      </c>
      <c r="E526" s="51" t="s">
        <v>81</v>
      </c>
      <c r="F526" s="53" t="s">
        <v>89</v>
      </c>
      <c r="G526" s="53">
        <v>8621</v>
      </c>
    </row>
    <row r="527" spans="1:7">
      <c r="A527" s="53">
        <v>84501165</v>
      </c>
      <c r="B527" s="53">
        <v>24</v>
      </c>
      <c r="C527" s="53" t="s">
        <v>85</v>
      </c>
      <c r="D527" s="53" t="s">
        <v>88</v>
      </c>
      <c r="E527" s="51" t="s">
        <v>86</v>
      </c>
      <c r="F527" s="53" t="s">
        <v>89</v>
      </c>
      <c r="G527" s="53">
        <v>4577</v>
      </c>
    </row>
    <row r="528" spans="1:7">
      <c r="A528" s="53">
        <v>82230676</v>
      </c>
      <c r="B528" s="53">
        <v>39</v>
      </c>
      <c r="C528" s="53" t="s">
        <v>83</v>
      </c>
      <c r="D528" s="53" t="s">
        <v>91</v>
      </c>
      <c r="E528" s="51" t="s">
        <v>81</v>
      </c>
      <c r="F528" s="53" t="s">
        <v>89</v>
      </c>
      <c r="G528" s="53">
        <v>4553</v>
      </c>
    </row>
    <row r="529" spans="1:7">
      <c r="A529" s="53">
        <v>81193932</v>
      </c>
      <c r="B529" s="53">
        <v>32</v>
      </c>
      <c r="C529" s="53" t="s">
        <v>85</v>
      </c>
      <c r="D529" s="53" t="s">
        <v>82</v>
      </c>
      <c r="E529" s="51" t="s">
        <v>81</v>
      </c>
      <c r="F529" s="53" t="s">
        <v>80</v>
      </c>
      <c r="G529" s="53">
        <v>5396</v>
      </c>
    </row>
    <row r="530" spans="1:7">
      <c r="A530" s="53">
        <v>86632344</v>
      </c>
      <c r="B530" s="53">
        <v>50</v>
      </c>
      <c r="C530" s="53" t="s">
        <v>85</v>
      </c>
      <c r="D530" s="53" t="s">
        <v>88</v>
      </c>
      <c r="E530" s="51" t="s">
        <v>90</v>
      </c>
      <c r="F530" s="53" t="s">
        <v>80</v>
      </c>
      <c r="G530" s="53">
        <v>6796</v>
      </c>
    </row>
    <row r="531" spans="1:7">
      <c r="A531" s="53">
        <v>81488897</v>
      </c>
      <c r="B531" s="53">
        <v>38</v>
      </c>
      <c r="C531" s="53" t="s">
        <v>83</v>
      </c>
      <c r="D531" s="53" t="s">
        <v>91</v>
      </c>
      <c r="E531" s="51" t="s">
        <v>81</v>
      </c>
      <c r="F531" s="53" t="s">
        <v>89</v>
      </c>
      <c r="G531" s="53">
        <v>7625</v>
      </c>
    </row>
    <row r="532" spans="1:7">
      <c r="A532" s="53">
        <v>82944216</v>
      </c>
      <c r="B532" s="53">
        <v>27</v>
      </c>
      <c r="C532" s="53" t="s">
        <v>83</v>
      </c>
      <c r="D532" s="53" t="s">
        <v>88</v>
      </c>
      <c r="E532" s="51" t="s">
        <v>86</v>
      </c>
      <c r="F532" s="53" t="s">
        <v>89</v>
      </c>
      <c r="G532" s="53">
        <v>7412</v>
      </c>
    </row>
    <row r="533" spans="1:7">
      <c r="A533" s="53">
        <v>89864711</v>
      </c>
      <c r="B533" s="53">
        <v>32</v>
      </c>
      <c r="C533" s="53" t="s">
        <v>83</v>
      </c>
      <c r="D533" s="53" t="s">
        <v>88</v>
      </c>
      <c r="E533" s="51" t="s">
        <v>81</v>
      </c>
      <c r="F533" s="53" t="s">
        <v>89</v>
      </c>
      <c r="G533" s="53">
        <v>11159</v>
      </c>
    </row>
    <row r="534" spans="1:7">
      <c r="A534" s="53">
        <v>81355596</v>
      </c>
      <c r="B534" s="53">
        <v>47</v>
      </c>
      <c r="C534" s="53" t="s">
        <v>85</v>
      </c>
      <c r="D534" s="53" t="s">
        <v>91</v>
      </c>
      <c r="E534" s="51" t="s">
        <v>84</v>
      </c>
      <c r="F534" s="53" t="s">
        <v>80</v>
      </c>
      <c r="G534" s="53">
        <v>4960</v>
      </c>
    </row>
    <row r="535" spans="1:7">
      <c r="A535" s="53">
        <v>84525721</v>
      </c>
      <c r="B535" s="53">
        <v>40</v>
      </c>
      <c r="C535" s="53" t="s">
        <v>85</v>
      </c>
      <c r="D535" s="53" t="s">
        <v>91</v>
      </c>
      <c r="E535" s="51" t="s">
        <v>84</v>
      </c>
      <c r="F535" s="53" t="s">
        <v>80</v>
      </c>
      <c r="G535" s="53">
        <v>10475</v>
      </c>
    </row>
    <row r="536" spans="1:7">
      <c r="A536" s="53">
        <v>81652544</v>
      </c>
      <c r="B536" s="53">
        <v>53</v>
      </c>
      <c r="C536" s="53" t="s">
        <v>83</v>
      </c>
      <c r="D536" s="53" t="s">
        <v>82</v>
      </c>
      <c r="E536" s="51" t="s">
        <v>90</v>
      </c>
      <c r="F536" s="53" t="s">
        <v>80</v>
      </c>
      <c r="G536" s="53">
        <v>14814</v>
      </c>
    </row>
    <row r="537" spans="1:7">
      <c r="A537" s="53">
        <v>84177733</v>
      </c>
      <c r="B537" s="53">
        <v>41</v>
      </c>
      <c r="C537" s="53" t="s">
        <v>93</v>
      </c>
      <c r="D537" s="53" t="s">
        <v>91</v>
      </c>
      <c r="E537" s="51" t="s">
        <v>84</v>
      </c>
      <c r="F537" s="53" t="s">
        <v>80</v>
      </c>
      <c r="G537" s="53">
        <v>19141</v>
      </c>
    </row>
    <row r="538" spans="1:7">
      <c r="A538" s="53">
        <v>83858135</v>
      </c>
      <c r="B538" s="53">
        <v>60</v>
      </c>
      <c r="C538" s="53" t="s">
        <v>85</v>
      </c>
      <c r="D538" s="53" t="s">
        <v>91</v>
      </c>
      <c r="E538" s="51" t="s">
        <v>90</v>
      </c>
      <c r="F538" s="53" t="s">
        <v>80</v>
      </c>
      <c r="G538" s="53">
        <v>5405</v>
      </c>
    </row>
    <row r="539" spans="1:7">
      <c r="A539" s="53">
        <v>80700103</v>
      </c>
      <c r="B539" s="53">
        <v>27</v>
      </c>
      <c r="C539" s="53" t="s">
        <v>83</v>
      </c>
      <c r="D539" s="53" t="s">
        <v>88</v>
      </c>
      <c r="E539" s="51" t="s">
        <v>86</v>
      </c>
      <c r="F539" s="53" t="s">
        <v>80</v>
      </c>
      <c r="G539" s="53">
        <v>8793</v>
      </c>
    </row>
    <row r="540" spans="1:7">
      <c r="A540" s="53">
        <v>87590575</v>
      </c>
      <c r="B540" s="53">
        <v>41</v>
      </c>
      <c r="C540" s="53" t="s">
        <v>93</v>
      </c>
      <c r="D540" s="53" t="s">
        <v>82</v>
      </c>
      <c r="E540" s="51" t="s">
        <v>84</v>
      </c>
      <c r="F540" s="53" t="s">
        <v>80</v>
      </c>
      <c r="G540" s="53">
        <v>19189</v>
      </c>
    </row>
    <row r="541" spans="1:7">
      <c r="A541" s="53">
        <v>84549791</v>
      </c>
      <c r="B541" s="53">
        <v>50</v>
      </c>
      <c r="C541" s="53" t="s">
        <v>85</v>
      </c>
      <c r="D541" s="53" t="s">
        <v>91</v>
      </c>
      <c r="E541" s="51" t="s">
        <v>90</v>
      </c>
      <c r="F541" s="53" t="s">
        <v>80</v>
      </c>
      <c r="G541" s="53">
        <v>3875</v>
      </c>
    </row>
    <row r="542" spans="1:7">
      <c r="A542" s="53">
        <v>87166404</v>
      </c>
      <c r="B542" s="53">
        <v>28</v>
      </c>
      <c r="C542" s="53" t="s">
        <v>83</v>
      </c>
      <c r="D542" s="53" t="s">
        <v>88</v>
      </c>
      <c r="E542" s="51" t="s">
        <v>86</v>
      </c>
      <c r="F542" s="53" t="s">
        <v>89</v>
      </c>
      <c r="G542" s="53">
        <v>2216</v>
      </c>
    </row>
    <row r="543" spans="1:7">
      <c r="A543" s="53">
        <v>88858273</v>
      </c>
      <c r="B543" s="53">
        <v>36</v>
      </c>
      <c r="C543" s="53" t="s">
        <v>83</v>
      </c>
      <c r="D543" s="53" t="s">
        <v>82</v>
      </c>
      <c r="E543" s="51" t="s">
        <v>81</v>
      </c>
      <c r="F543" s="53" t="s">
        <v>89</v>
      </c>
      <c r="G543" s="53">
        <v>11713</v>
      </c>
    </row>
    <row r="544" spans="1:7">
      <c r="A544" s="53">
        <v>81701761</v>
      </c>
      <c r="B544" s="53">
        <v>38</v>
      </c>
      <c r="C544" s="53" t="s">
        <v>83</v>
      </c>
      <c r="D544" s="53" t="s">
        <v>82</v>
      </c>
      <c r="E544" s="51" t="s">
        <v>81</v>
      </c>
      <c r="F544" s="53" t="s">
        <v>89</v>
      </c>
      <c r="G544" s="53">
        <v>7861</v>
      </c>
    </row>
    <row r="545" spans="1:7">
      <c r="A545" s="53">
        <v>83940347</v>
      </c>
      <c r="B545" s="53">
        <v>44</v>
      </c>
      <c r="C545" s="53" t="s">
        <v>83</v>
      </c>
      <c r="D545" s="53" t="s">
        <v>82</v>
      </c>
      <c r="E545" s="51" t="s">
        <v>84</v>
      </c>
      <c r="F545" s="53" t="s">
        <v>80</v>
      </c>
      <c r="G545" s="53">
        <v>3708</v>
      </c>
    </row>
    <row r="546" spans="1:7">
      <c r="A546" s="53">
        <v>80823394</v>
      </c>
      <c r="B546" s="53">
        <v>47</v>
      </c>
      <c r="C546" s="53" t="s">
        <v>85</v>
      </c>
      <c r="D546" s="53" t="s">
        <v>82</v>
      </c>
      <c r="E546" s="51" t="s">
        <v>84</v>
      </c>
      <c r="F546" s="53" t="s">
        <v>89</v>
      </c>
      <c r="G546" s="53">
        <v>13770</v>
      </c>
    </row>
    <row r="547" spans="1:7">
      <c r="A547" s="53">
        <v>86946227</v>
      </c>
      <c r="B547" s="53">
        <v>30</v>
      </c>
      <c r="C547" s="53" t="s">
        <v>85</v>
      </c>
      <c r="D547" s="53" t="s">
        <v>94</v>
      </c>
      <c r="E547" s="51" t="s">
        <v>81</v>
      </c>
      <c r="F547" s="53" t="s">
        <v>80</v>
      </c>
      <c r="G547" s="53">
        <v>5304</v>
      </c>
    </row>
    <row r="548" spans="1:7">
      <c r="A548" s="53">
        <v>88361575</v>
      </c>
      <c r="B548" s="53">
        <v>29</v>
      </c>
      <c r="C548" s="53" t="s">
        <v>85</v>
      </c>
      <c r="D548" s="53" t="s">
        <v>82</v>
      </c>
      <c r="E548" s="51" t="s">
        <v>86</v>
      </c>
      <c r="F548" s="53" t="s">
        <v>80</v>
      </c>
      <c r="G548" s="53">
        <v>2642</v>
      </c>
    </row>
    <row r="549" spans="1:7">
      <c r="A549" s="53">
        <v>82775395</v>
      </c>
      <c r="B549" s="53">
        <v>42</v>
      </c>
      <c r="C549" s="53" t="s">
        <v>83</v>
      </c>
      <c r="D549" s="53" t="s">
        <v>82</v>
      </c>
      <c r="E549" s="51" t="s">
        <v>84</v>
      </c>
      <c r="F549" s="53" t="s">
        <v>80</v>
      </c>
      <c r="G549" s="53">
        <v>2759</v>
      </c>
    </row>
    <row r="550" spans="1:7">
      <c r="A550" s="53">
        <v>80623967</v>
      </c>
      <c r="B550" s="53">
        <v>43</v>
      </c>
      <c r="C550" s="53" t="s">
        <v>85</v>
      </c>
      <c r="D550" s="53" t="s">
        <v>82</v>
      </c>
      <c r="E550" s="51" t="s">
        <v>84</v>
      </c>
      <c r="F550" s="53" t="s">
        <v>80</v>
      </c>
      <c r="G550" s="53">
        <v>6804</v>
      </c>
    </row>
    <row r="551" spans="1:7">
      <c r="A551" s="53">
        <v>80878435</v>
      </c>
      <c r="B551" s="53">
        <v>34</v>
      </c>
      <c r="C551" s="53" t="s">
        <v>83</v>
      </c>
      <c r="D551" s="53" t="s">
        <v>88</v>
      </c>
      <c r="E551" s="51" t="s">
        <v>81</v>
      </c>
      <c r="F551" s="53" t="s">
        <v>89</v>
      </c>
      <c r="G551" s="53">
        <v>6142</v>
      </c>
    </row>
    <row r="552" spans="1:7">
      <c r="A552" s="53">
        <v>84045922</v>
      </c>
      <c r="B552" s="53">
        <v>23</v>
      </c>
      <c r="C552" s="53" t="s">
        <v>83</v>
      </c>
      <c r="D552" s="53" t="s">
        <v>87</v>
      </c>
      <c r="E552" s="51" t="s">
        <v>86</v>
      </c>
      <c r="F552" s="53" t="s">
        <v>80</v>
      </c>
      <c r="G552" s="53">
        <v>2500</v>
      </c>
    </row>
    <row r="553" spans="1:7">
      <c r="A553" s="53">
        <v>83176133</v>
      </c>
      <c r="B553" s="53">
        <v>39</v>
      </c>
      <c r="C553" s="53" t="s">
        <v>93</v>
      </c>
      <c r="D553" s="53" t="s">
        <v>82</v>
      </c>
      <c r="E553" s="51" t="s">
        <v>81</v>
      </c>
      <c r="F553" s="53" t="s">
        <v>89</v>
      </c>
      <c r="G553" s="53">
        <v>6389</v>
      </c>
    </row>
    <row r="554" spans="1:7">
      <c r="A554" s="53">
        <v>85959516</v>
      </c>
      <c r="B554" s="53">
        <v>56</v>
      </c>
      <c r="C554" s="53" t="s">
        <v>83</v>
      </c>
      <c r="D554" s="53" t="s">
        <v>82</v>
      </c>
      <c r="E554" s="51" t="s">
        <v>90</v>
      </c>
      <c r="F554" s="53" t="s">
        <v>80</v>
      </c>
      <c r="G554" s="53">
        <v>11103</v>
      </c>
    </row>
    <row r="555" spans="1:7">
      <c r="A555" s="53">
        <v>87814288</v>
      </c>
      <c r="B555" s="53">
        <v>40</v>
      </c>
      <c r="C555" s="53" t="s">
        <v>83</v>
      </c>
      <c r="D555" s="53" t="s">
        <v>87</v>
      </c>
      <c r="E555" s="51" t="s">
        <v>84</v>
      </c>
      <c r="F555" s="53" t="s">
        <v>89</v>
      </c>
      <c r="G555" s="53">
        <v>2342</v>
      </c>
    </row>
    <row r="556" spans="1:7">
      <c r="A556" s="53">
        <v>85582955</v>
      </c>
      <c r="B556" s="53">
        <v>27</v>
      </c>
      <c r="C556" s="53" t="s">
        <v>83</v>
      </c>
      <c r="D556" s="53" t="s">
        <v>82</v>
      </c>
      <c r="E556" s="51" t="s">
        <v>86</v>
      </c>
      <c r="F556" s="53" t="s">
        <v>89</v>
      </c>
      <c r="G556" s="53">
        <v>6811</v>
      </c>
    </row>
    <row r="557" spans="1:7">
      <c r="A557" s="53">
        <v>82900382</v>
      </c>
      <c r="B557" s="53">
        <v>29</v>
      </c>
      <c r="C557" s="53" t="s">
        <v>85</v>
      </c>
      <c r="D557" s="53" t="s">
        <v>82</v>
      </c>
      <c r="E557" s="51" t="s">
        <v>86</v>
      </c>
      <c r="F557" s="53" t="s">
        <v>80</v>
      </c>
      <c r="G557" s="53">
        <v>2297</v>
      </c>
    </row>
    <row r="558" spans="1:7">
      <c r="A558" s="53">
        <v>80588117</v>
      </c>
      <c r="B558" s="53">
        <v>53</v>
      </c>
      <c r="C558" s="53" t="s">
        <v>83</v>
      </c>
      <c r="D558" s="53" t="s">
        <v>82</v>
      </c>
      <c r="E558" s="51" t="s">
        <v>90</v>
      </c>
      <c r="F558" s="53" t="s">
        <v>80</v>
      </c>
      <c r="G558" s="53">
        <v>2450</v>
      </c>
    </row>
    <row r="559" spans="1:7">
      <c r="A559" s="53">
        <v>82605526</v>
      </c>
      <c r="B559" s="53">
        <v>35</v>
      </c>
      <c r="C559" s="53" t="s">
        <v>83</v>
      </c>
      <c r="D559" s="53" t="s">
        <v>91</v>
      </c>
      <c r="E559" s="51" t="s">
        <v>81</v>
      </c>
      <c r="F559" s="53" t="s">
        <v>89</v>
      </c>
      <c r="G559" s="53">
        <v>5093</v>
      </c>
    </row>
    <row r="560" spans="1:7">
      <c r="A560" s="53">
        <v>89422720</v>
      </c>
      <c r="B560" s="53">
        <v>32</v>
      </c>
      <c r="C560" s="53" t="s">
        <v>83</v>
      </c>
      <c r="D560" s="53" t="s">
        <v>91</v>
      </c>
      <c r="E560" s="51" t="s">
        <v>81</v>
      </c>
      <c r="F560" s="53" t="s">
        <v>80</v>
      </c>
      <c r="G560" s="53">
        <v>5309</v>
      </c>
    </row>
    <row r="561" spans="1:7">
      <c r="A561" s="53">
        <v>83478019</v>
      </c>
      <c r="B561" s="53">
        <v>38</v>
      </c>
      <c r="C561" s="53" t="s">
        <v>83</v>
      </c>
      <c r="D561" s="53" t="s">
        <v>94</v>
      </c>
      <c r="E561" s="51" t="s">
        <v>81</v>
      </c>
      <c r="F561" s="53" t="s">
        <v>80</v>
      </c>
      <c r="G561" s="53">
        <v>3057</v>
      </c>
    </row>
    <row r="562" spans="1:7">
      <c r="A562" s="53">
        <v>86011441</v>
      </c>
      <c r="B562" s="53">
        <v>34</v>
      </c>
      <c r="C562" s="53" t="s">
        <v>83</v>
      </c>
      <c r="D562" s="53" t="s">
        <v>94</v>
      </c>
      <c r="E562" s="51" t="s">
        <v>81</v>
      </c>
      <c r="F562" s="53" t="s">
        <v>89</v>
      </c>
      <c r="G562" s="53">
        <v>5121</v>
      </c>
    </row>
    <row r="563" spans="1:7">
      <c r="A563" s="53">
        <v>87750088</v>
      </c>
      <c r="B563" s="53">
        <v>52</v>
      </c>
      <c r="C563" s="53" t="s">
        <v>85</v>
      </c>
      <c r="D563" s="53" t="s">
        <v>91</v>
      </c>
      <c r="E563" s="51" t="s">
        <v>90</v>
      </c>
      <c r="F563" s="53" t="s">
        <v>80</v>
      </c>
      <c r="G563" s="53">
        <v>16856</v>
      </c>
    </row>
    <row r="564" spans="1:7">
      <c r="A564" s="53">
        <v>89291481</v>
      </c>
      <c r="B564" s="53">
        <v>33</v>
      </c>
      <c r="C564" s="53" t="s">
        <v>83</v>
      </c>
      <c r="D564" s="53" t="s">
        <v>91</v>
      </c>
      <c r="E564" s="51" t="s">
        <v>81</v>
      </c>
      <c r="F564" s="53" t="s">
        <v>80</v>
      </c>
      <c r="G564" s="53">
        <v>2686</v>
      </c>
    </row>
    <row r="565" spans="1:7">
      <c r="A565" s="53">
        <v>83897791</v>
      </c>
      <c r="B565" s="53">
        <v>25</v>
      </c>
      <c r="C565" s="53" t="s">
        <v>85</v>
      </c>
      <c r="D565" s="53" t="s">
        <v>87</v>
      </c>
      <c r="E565" s="51" t="s">
        <v>86</v>
      </c>
      <c r="F565" s="53" t="s">
        <v>89</v>
      </c>
      <c r="G565" s="53">
        <v>6180</v>
      </c>
    </row>
    <row r="566" spans="1:7">
      <c r="A566" s="53">
        <v>81029964</v>
      </c>
      <c r="B566" s="53">
        <v>45</v>
      </c>
      <c r="C566" s="53" t="s">
        <v>85</v>
      </c>
      <c r="D566" s="53" t="s">
        <v>88</v>
      </c>
      <c r="E566" s="51" t="s">
        <v>84</v>
      </c>
      <c r="F566" s="53" t="s">
        <v>80</v>
      </c>
      <c r="G566" s="53">
        <v>6632</v>
      </c>
    </row>
    <row r="567" spans="1:7">
      <c r="A567" s="53">
        <v>83085646</v>
      </c>
      <c r="B567" s="53">
        <v>23</v>
      </c>
      <c r="C567" s="53" t="s">
        <v>83</v>
      </c>
      <c r="D567" s="53" t="s">
        <v>87</v>
      </c>
      <c r="E567" s="51" t="s">
        <v>86</v>
      </c>
      <c r="F567" s="53" t="s">
        <v>80</v>
      </c>
      <c r="G567" s="53">
        <v>3505</v>
      </c>
    </row>
    <row r="568" spans="1:7">
      <c r="A568" s="53">
        <v>87029334</v>
      </c>
      <c r="B568" s="53">
        <v>47</v>
      </c>
      <c r="C568" s="53" t="s">
        <v>85</v>
      </c>
      <c r="D568" s="53" t="s">
        <v>88</v>
      </c>
      <c r="E568" s="51" t="s">
        <v>84</v>
      </c>
      <c r="F568" s="53" t="s">
        <v>89</v>
      </c>
      <c r="G568" s="53">
        <v>6397</v>
      </c>
    </row>
    <row r="569" spans="1:7">
      <c r="A569" s="53">
        <v>84450115</v>
      </c>
      <c r="B569" s="53">
        <v>34</v>
      </c>
      <c r="C569" s="53" t="s">
        <v>85</v>
      </c>
      <c r="D569" s="53" t="s">
        <v>82</v>
      </c>
      <c r="E569" s="51" t="s">
        <v>81</v>
      </c>
      <c r="F569" s="53" t="s">
        <v>80</v>
      </c>
      <c r="G569" s="53">
        <v>6274</v>
      </c>
    </row>
    <row r="570" spans="1:7">
      <c r="A570" s="53">
        <v>85911696</v>
      </c>
      <c r="B570" s="53">
        <v>55</v>
      </c>
      <c r="C570" s="53" t="s">
        <v>83</v>
      </c>
      <c r="D570" s="53" t="s">
        <v>82</v>
      </c>
      <c r="E570" s="51" t="s">
        <v>90</v>
      </c>
      <c r="F570" s="53" t="s">
        <v>80</v>
      </c>
      <c r="G570" s="53">
        <v>19859</v>
      </c>
    </row>
    <row r="571" spans="1:7">
      <c r="A571" s="53">
        <v>85170255</v>
      </c>
      <c r="B571" s="53">
        <v>36</v>
      </c>
      <c r="C571" s="53" t="s">
        <v>85</v>
      </c>
      <c r="D571" s="53" t="s">
        <v>91</v>
      </c>
      <c r="E571" s="51" t="s">
        <v>81</v>
      </c>
      <c r="F571" s="53" t="s">
        <v>80</v>
      </c>
      <c r="G571" s="53">
        <v>7587</v>
      </c>
    </row>
    <row r="572" spans="1:7">
      <c r="A572" s="53">
        <v>83142612</v>
      </c>
      <c r="B572" s="53">
        <v>52</v>
      </c>
      <c r="C572" s="53" t="s">
        <v>83</v>
      </c>
      <c r="D572" s="53" t="s">
        <v>91</v>
      </c>
      <c r="E572" s="51" t="s">
        <v>90</v>
      </c>
      <c r="F572" s="53" t="s">
        <v>80</v>
      </c>
      <c r="G572" s="53">
        <v>4258</v>
      </c>
    </row>
    <row r="573" spans="1:7">
      <c r="A573" s="53">
        <v>81603772</v>
      </c>
      <c r="B573" s="53">
        <v>26</v>
      </c>
      <c r="C573" s="53" t="s">
        <v>83</v>
      </c>
      <c r="D573" s="53" t="s">
        <v>88</v>
      </c>
      <c r="E573" s="51" t="s">
        <v>86</v>
      </c>
      <c r="F573" s="53" t="s">
        <v>89</v>
      </c>
      <c r="G573" s="53">
        <v>4364</v>
      </c>
    </row>
    <row r="574" spans="1:7">
      <c r="A574" s="53">
        <v>85905617</v>
      </c>
      <c r="B574" s="53">
        <v>29</v>
      </c>
      <c r="C574" s="53" t="s">
        <v>83</v>
      </c>
      <c r="D574" s="53" t="s">
        <v>82</v>
      </c>
      <c r="E574" s="51" t="s">
        <v>86</v>
      </c>
      <c r="F574" s="53" t="s">
        <v>89</v>
      </c>
      <c r="G574" s="53">
        <v>4335</v>
      </c>
    </row>
    <row r="575" spans="1:7">
      <c r="A575" s="53">
        <v>82951174</v>
      </c>
      <c r="B575" s="53">
        <v>26</v>
      </c>
      <c r="C575" s="53" t="s">
        <v>85</v>
      </c>
      <c r="D575" s="53" t="s">
        <v>82</v>
      </c>
      <c r="E575" s="51" t="s">
        <v>86</v>
      </c>
      <c r="F575" s="53" t="s">
        <v>80</v>
      </c>
      <c r="G575" s="53">
        <v>5326</v>
      </c>
    </row>
    <row r="576" spans="1:7">
      <c r="A576" s="53">
        <v>89084187</v>
      </c>
      <c r="B576" s="53">
        <v>34</v>
      </c>
      <c r="C576" s="53" t="s">
        <v>83</v>
      </c>
      <c r="D576" s="53" t="s">
        <v>91</v>
      </c>
      <c r="E576" s="51" t="s">
        <v>81</v>
      </c>
      <c r="F576" s="53" t="s">
        <v>89</v>
      </c>
      <c r="G576" s="53">
        <v>3280</v>
      </c>
    </row>
    <row r="577" spans="1:7">
      <c r="A577" s="53">
        <v>88807359</v>
      </c>
      <c r="B577" s="53">
        <v>54</v>
      </c>
      <c r="C577" s="53" t="s">
        <v>83</v>
      </c>
      <c r="D577" s="53" t="s">
        <v>91</v>
      </c>
      <c r="E577" s="51" t="s">
        <v>90</v>
      </c>
      <c r="F577" s="53" t="s">
        <v>89</v>
      </c>
      <c r="G577" s="53">
        <v>5485</v>
      </c>
    </row>
    <row r="578" spans="1:7">
      <c r="A578" s="53">
        <v>83380643</v>
      </c>
      <c r="B578" s="53">
        <v>27</v>
      </c>
      <c r="C578" s="53" t="s">
        <v>85</v>
      </c>
      <c r="D578" s="53" t="s">
        <v>87</v>
      </c>
      <c r="E578" s="51" t="s">
        <v>86</v>
      </c>
      <c r="F578" s="53" t="s">
        <v>80</v>
      </c>
      <c r="G578" s="53">
        <v>4342</v>
      </c>
    </row>
    <row r="579" spans="1:7">
      <c r="A579" s="53">
        <v>87167397</v>
      </c>
      <c r="B579" s="53">
        <v>37</v>
      </c>
      <c r="C579" s="53" t="s">
        <v>83</v>
      </c>
      <c r="D579" s="53" t="s">
        <v>87</v>
      </c>
      <c r="E579" s="51" t="s">
        <v>81</v>
      </c>
      <c r="F579" s="53" t="s">
        <v>89</v>
      </c>
      <c r="G579" s="53">
        <v>2782</v>
      </c>
    </row>
    <row r="580" spans="1:7">
      <c r="A580" s="53">
        <v>83112908</v>
      </c>
      <c r="B580" s="53">
        <v>38</v>
      </c>
      <c r="C580" s="53" t="s">
        <v>83</v>
      </c>
      <c r="D580" s="53" t="s">
        <v>91</v>
      </c>
      <c r="E580" s="51" t="s">
        <v>81</v>
      </c>
      <c r="F580" s="53" t="s">
        <v>89</v>
      </c>
      <c r="G580" s="53">
        <v>5980</v>
      </c>
    </row>
    <row r="581" spans="1:7">
      <c r="A581" s="53">
        <v>84235448</v>
      </c>
      <c r="B581" s="53">
        <v>34</v>
      </c>
      <c r="C581" s="53" t="s">
        <v>83</v>
      </c>
      <c r="D581" s="53" t="s">
        <v>91</v>
      </c>
      <c r="E581" s="51" t="s">
        <v>81</v>
      </c>
      <c r="F581" s="53" t="s">
        <v>89</v>
      </c>
      <c r="G581" s="53">
        <v>4381</v>
      </c>
    </row>
    <row r="582" spans="1:7">
      <c r="A582" s="53">
        <v>82573956</v>
      </c>
      <c r="B582" s="53">
        <v>35</v>
      </c>
      <c r="C582" s="53" t="s">
        <v>85</v>
      </c>
      <c r="D582" s="53" t="s">
        <v>91</v>
      </c>
      <c r="E582" s="51" t="s">
        <v>81</v>
      </c>
      <c r="F582" s="53" t="s">
        <v>89</v>
      </c>
      <c r="G582" s="53">
        <v>2572</v>
      </c>
    </row>
    <row r="583" spans="1:7">
      <c r="A583" s="53">
        <v>81266807</v>
      </c>
      <c r="B583" s="53">
        <v>30</v>
      </c>
      <c r="C583" s="53" t="s">
        <v>83</v>
      </c>
      <c r="D583" s="53" t="s">
        <v>82</v>
      </c>
      <c r="E583" s="51" t="s">
        <v>81</v>
      </c>
      <c r="F583" s="53" t="s">
        <v>80</v>
      </c>
      <c r="G583" s="53">
        <v>3833</v>
      </c>
    </row>
    <row r="584" spans="1:7">
      <c r="A584" s="53">
        <v>89163119</v>
      </c>
      <c r="B584" s="53">
        <v>40</v>
      </c>
      <c r="C584" s="53" t="s">
        <v>83</v>
      </c>
      <c r="D584" s="53" t="s">
        <v>88</v>
      </c>
      <c r="E584" s="51" t="s">
        <v>84</v>
      </c>
      <c r="F584" s="53" t="s">
        <v>89</v>
      </c>
      <c r="G584" s="53">
        <v>4244</v>
      </c>
    </row>
    <row r="585" spans="1:7">
      <c r="A585" s="53">
        <v>89918858</v>
      </c>
      <c r="B585" s="53">
        <v>34</v>
      </c>
      <c r="C585" s="53" t="s">
        <v>85</v>
      </c>
      <c r="D585" s="53" t="s">
        <v>88</v>
      </c>
      <c r="E585" s="51" t="s">
        <v>81</v>
      </c>
      <c r="F585" s="53" t="s">
        <v>89</v>
      </c>
      <c r="G585" s="53">
        <v>6500</v>
      </c>
    </row>
    <row r="586" spans="1:7">
      <c r="A586" s="53">
        <v>87507692</v>
      </c>
      <c r="B586" s="53">
        <v>42</v>
      </c>
      <c r="C586" s="53" t="s">
        <v>83</v>
      </c>
      <c r="D586" s="53" t="s">
        <v>82</v>
      </c>
      <c r="E586" s="51" t="s">
        <v>84</v>
      </c>
      <c r="F586" s="53" t="s">
        <v>80</v>
      </c>
      <c r="G586" s="53">
        <v>18430</v>
      </c>
    </row>
    <row r="587" spans="1:7">
      <c r="A587" s="53">
        <v>89838229</v>
      </c>
      <c r="B587" s="53">
        <v>23</v>
      </c>
      <c r="C587" s="53" t="s">
        <v>83</v>
      </c>
      <c r="D587" s="53" t="s">
        <v>82</v>
      </c>
      <c r="E587" s="51" t="s">
        <v>86</v>
      </c>
      <c r="F587" s="53" t="s">
        <v>80</v>
      </c>
      <c r="G587" s="53">
        <v>1601</v>
      </c>
    </row>
    <row r="588" spans="1:7">
      <c r="A588" s="53">
        <v>82245065</v>
      </c>
      <c r="B588" s="53">
        <v>24</v>
      </c>
      <c r="C588" s="53" t="s">
        <v>83</v>
      </c>
      <c r="D588" s="53" t="s">
        <v>82</v>
      </c>
      <c r="E588" s="51" t="s">
        <v>86</v>
      </c>
      <c r="F588" s="53" t="s">
        <v>80</v>
      </c>
      <c r="G588" s="53">
        <v>2694</v>
      </c>
    </row>
    <row r="589" spans="1:7">
      <c r="A589" s="53">
        <v>84660088</v>
      </c>
      <c r="B589" s="53">
        <v>52</v>
      </c>
      <c r="C589" s="53" t="s">
        <v>83</v>
      </c>
      <c r="D589" s="53" t="s">
        <v>91</v>
      </c>
      <c r="E589" s="51" t="s">
        <v>90</v>
      </c>
      <c r="F589" s="53" t="s">
        <v>89</v>
      </c>
      <c r="G589" s="53">
        <v>3149</v>
      </c>
    </row>
    <row r="590" spans="1:7">
      <c r="A590" s="53">
        <v>81775943</v>
      </c>
      <c r="B590" s="53">
        <v>50</v>
      </c>
      <c r="C590" s="53" t="s">
        <v>83</v>
      </c>
      <c r="D590" s="53" t="s">
        <v>82</v>
      </c>
      <c r="E590" s="51" t="s">
        <v>90</v>
      </c>
      <c r="F590" s="53" t="s">
        <v>80</v>
      </c>
      <c r="G590" s="53">
        <v>17639</v>
      </c>
    </row>
    <row r="591" spans="1:7">
      <c r="A591" s="53">
        <v>82544016</v>
      </c>
      <c r="B591" s="53">
        <v>29</v>
      </c>
      <c r="C591" s="53" t="s">
        <v>83</v>
      </c>
      <c r="D591" s="53" t="s">
        <v>88</v>
      </c>
      <c r="E591" s="51" t="s">
        <v>86</v>
      </c>
      <c r="F591" s="53" t="s">
        <v>89</v>
      </c>
      <c r="G591" s="53">
        <v>2319</v>
      </c>
    </row>
    <row r="592" spans="1:7">
      <c r="A592" s="53">
        <v>85949960</v>
      </c>
      <c r="B592" s="53">
        <v>33</v>
      </c>
      <c r="C592" s="53" t="s">
        <v>83</v>
      </c>
      <c r="D592" s="53" t="s">
        <v>82</v>
      </c>
      <c r="E592" s="51" t="s">
        <v>81</v>
      </c>
      <c r="F592" s="53" t="s">
        <v>80</v>
      </c>
      <c r="G592" s="53">
        <v>11691</v>
      </c>
    </row>
    <row r="593" spans="1:7">
      <c r="A593" s="53">
        <v>87042062</v>
      </c>
      <c r="B593" s="53">
        <v>33</v>
      </c>
      <c r="C593" s="53" t="s">
        <v>85</v>
      </c>
      <c r="D593" s="53" t="s">
        <v>82</v>
      </c>
      <c r="E593" s="51" t="s">
        <v>81</v>
      </c>
      <c r="F593" s="53" t="s">
        <v>89</v>
      </c>
      <c r="G593" s="53">
        <v>5324</v>
      </c>
    </row>
    <row r="594" spans="1:7">
      <c r="A594" s="53">
        <v>86214656</v>
      </c>
      <c r="B594" s="53">
        <v>47</v>
      </c>
      <c r="C594" s="53" t="s">
        <v>83</v>
      </c>
      <c r="D594" s="53" t="s">
        <v>88</v>
      </c>
      <c r="E594" s="51" t="s">
        <v>84</v>
      </c>
      <c r="F594" s="53" t="s">
        <v>89</v>
      </c>
      <c r="G594" s="53">
        <v>16752</v>
      </c>
    </row>
    <row r="595" spans="1:7">
      <c r="A595" s="53">
        <v>86455848</v>
      </c>
      <c r="B595" s="53">
        <v>36</v>
      </c>
      <c r="C595" s="53" t="s">
        <v>83</v>
      </c>
      <c r="D595" s="53" t="s">
        <v>82</v>
      </c>
      <c r="E595" s="51" t="s">
        <v>81</v>
      </c>
      <c r="F595" s="53" t="s">
        <v>89</v>
      </c>
      <c r="G595" s="53">
        <v>5228</v>
      </c>
    </row>
    <row r="596" spans="1:7">
      <c r="A596" s="53">
        <v>82429021</v>
      </c>
      <c r="B596" s="53">
        <v>29</v>
      </c>
      <c r="C596" s="53" t="s">
        <v>83</v>
      </c>
      <c r="D596" s="53" t="s">
        <v>88</v>
      </c>
      <c r="E596" s="51" t="s">
        <v>86</v>
      </c>
      <c r="F596" s="53" t="s">
        <v>80</v>
      </c>
      <c r="G596" s="53">
        <v>2700</v>
      </c>
    </row>
    <row r="597" spans="1:7">
      <c r="A597" s="53">
        <v>83969799</v>
      </c>
      <c r="B597" s="53">
        <v>58</v>
      </c>
      <c r="C597" s="53" t="s">
        <v>83</v>
      </c>
      <c r="D597" s="53" t="s">
        <v>91</v>
      </c>
      <c r="E597" s="51" t="s">
        <v>90</v>
      </c>
      <c r="F597" s="53" t="s">
        <v>80</v>
      </c>
      <c r="G597" s="53">
        <v>19246</v>
      </c>
    </row>
    <row r="598" spans="1:7">
      <c r="A598" s="53">
        <v>83049488</v>
      </c>
      <c r="B598" s="53">
        <v>35</v>
      </c>
      <c r="C598" s="53" t="s">
        <v>83</v>
      </c>
      <c r="D598" s="53" t="s">
        <v>91</v>
      </c>
      <c r="E598" s="51" t="s">
        <v>81</v>
      </c>
      <c r="F598" s="53" t="s">
        <v>89</v>
      </c>
      <c r="G598" s="53">
        <v>2506</v>
      </c>
    </row>
    <row r="599" spans="1:7">
      <c r="A599" s="53">
        <v>87893594</v>
      </c>
      <c r="B599" s="53">
        <v>42</v>
      </c>
      <c r="C599" s="53" t="s">
        <v>83</v>
      </c>
      <c r="D599" s="53" t="s">
        <v>88</v>
      </c>
      <c r="E599" s="51" t="s">
        <v>84</v>
      </c>
      <c r="F599" s="53" t="s">
        <v>89</v>
      </c>
      <c r="G599" s="53">
        <v>6062</v>
      </c>
    </row>
    <row r="600" spans="1:7">
      <c r="A600" s="53">
        <v>88557456</v>
      </c>
      <c r="B600" s="53">
        <v>28</v>
      </c>
      <c r="C600" s="53" t="s">
        <v>83</v>
      </c>
      <c r="D600" s="53" t="s">
        <v>91</v>
      </c>
      <c r="E600" s="51" t="s">
        <v>86</v>
      </c>
      <c r="F600" s="53" t="s">
        <v>80</v>
      </c>
      <c r="G600" s="53">
        <v>4382</v>
      </c>
    </row>
    <row r="601" spans="1:7">
      <c r="A601" s="53">
        <v>89504754</v>
      </c>
      <c r="B601" s="53">
        <v>36</v>
      </c>
      <c r="C601" s="53" t="s">
        <v>93</v>
      </c>
      <c r="D601" s="53" t="s">
        <v>82</v>
      </c>
      <c r="E601" s="51" t="s">
        <v>81</v>
      </c>
      <c r="F601" s="53" t="s">
        <v>80</v>
      </c>
      <c r="G601" s="53">
        <v>2143</v>
      </c>
    </row>
    <row r="602" spans="1:7">
      <c r="A602" s="53">
        <v>88578647</v>
      </c>
      <c r="B602" s="53">
        <v>32</v>
      </c>
      <c r="C602" s="53" t="s">
        <v>83</v>
      </c>
      <c r="D602" s="53" t="s">
        <v>82</v>
      </c>
      <c r="E602" s="51" t="s">
        <v>81</v>
      </c>
      <c r="F602" s="53" t="s">
        <v>89</v>
      </c>
      <c r="G602" s="53">
        <v>6162</v>
      </c>
    </row>
    <row r="603" spans="1:7">
      <c r="A603" s="53">
        <v>89487221</v>
      </c>
      <c r="B603" s="53">
        <v>40</v>
      </c>
      <c r="C603" s="53" t="s">
        <v>83</v>
      </c>
      <c r="D603" s="53" t="s">
        <v>91</v>
      </c>
      <c r="E603" s="51" t="s">
        <v>84</v>
      </c>
      <c r="F603" s="53" t="s">
        <v>80</v>
      </c>
      <c r="G603" s="53">
        <v>5094</v>
      </c>
    </row>
    <row r="604" spans="1:7">
      <c r="A604" s="53">
        <v>85183526</v>
      </c>
      <c r="B604" s="53">
        <v>30</v>
      </c>
      <c r="C604" s="53" t="s">
        <v>83</v>
      </c>
      <c r="D604" s="53" t="s">
        <v>82</v>
      </c>
      <c r="E604" s="51" t="s">
        <v>81</v>
      </c>
      <c r="F604" s="53" t="s">
        <v>89</v>
      </c>
      <c r="G604" s="53">
        <v>6877</v>
      </c>
    </row>
    <row r="605" spans="1:7">
      <c r="A605" s="53">
        <v>84966447</v>
      </c>
      <c r="B605" s="53">
        <v>45</v>
      </c>
      <c r="C605" s="53" t="s">
        <v>83</v>
      </c>
      <c r="D605" s="53" t="s">
        <v>82</v>
      </c>
      <c r="E605" s="51" t="s">
        <v>84</v>
      </c>
      <c r="F605" s="53" t="s">
        <v>89</v>
      </c>
      <c r="G605" s="53">
        <v>2274</v>
      </c>
    </row>
    <row r="606" spans="1:7">
      <c r="A606" s="53">
        <v>85727057</v>
      </c>
      <c r="B606" s="53">
        <v>42</v>
      </c>
      <c r="C606" s="53" t="s">
        <v>83</v>
      </c>
      <c r="D606" s="53" t="s">
        <v>82</v>
      </c>
      <c r="E606" s="51" t="s">
        <v>84</v>
      </c>
      <c r="F606" s="53" t="s">
        <v>80</v>
      </c>
      <c r="G606" s="53">
        <v>4434</v>
      </c>
    </row>
    <row r="607" spans="1:7">
      <c r="A607" s="53">
        <v>82348054</v>
      </c>
      <c r="B607" s="53">
        <v>38</v>
      </c>
      <c r="C607" s="53" t="s">
        <v>83</v>
      </c>
      <c r="D607" s="53" t="s">
        <v>82</v>
      </c>
      <c r="E607" s="51" t="s">
        <v>81</v>
      </c>
      <c r="F607" s="53" t="s">
        <v>80</v>
      </c>
      <c r="G607" s="53">
        <v>6288</v>
      </c>
    </row>
    <row r="608" spans="1:7">
      <c r="A608" s="53">
        <v>89148317</v>
      </c>
      <c r="B608" s="53">
        <v>34</v>
      </c>
      <c r="C608" s="53" t="s">
        <v>83</v>
      </c>
      <c r="D608" s="53" t="s">
        <v>91</v>
      </c>
      <c r="E608" s="51" t="s">
        <v>81</v>
      </c>
      <c r="F608" s="53" t="s">
        <v>89</v>
      </c>
      <c r="G608" s="53">
        <v>2553</v>
      </c>
    </row>
    <row r="609" spans="1:7">
      <c r="A609" s="53">
        <v>83034526</v>
      </c>
      <c r="B609" s="53">
        <v>49</v>
      </c>
      <c r="C609" s="53" t="s">
        <v>85</v>
      </c>
      <c r="D609" s="53" t="s">
        <v>82</v>
      </c>
      <c r="E609" s="51" t="s">
        <v>84</v>
      </c>
      <c r="F609" s="53" t="s">
        <v>89</v>
      </c>
      <c r="G609" s="53">
        <v>7654</v>
      </c>
    </row>
    <row r="610" spans="1:7">
      <c r="A610" s="53">
        <v>80950472</v>
      </c>
      <c r="B610" s="53">
        <v>55</v>
      </c>
      <c r="C610" s="53" t="s">
        <v>85</v>
      </c>
      <c r="D610" s="53" t="s">
        <v>87</v>
      </c>
      <c r="E610" s="51" t="s">
        <v>90</v>
      </c>
      <c r="F610" s="53" t="s">
        <v>80</v>
      </c>
      <c r="G610" s="53">
        <v>5160</v>
      </c>
    </row>
    <row r="611" spans="1:7">
      <c r="A611" s="53">
        <v>89897270</v>
      </c>
      <c r="B611" s="53">
        <v>43</v>
      </c>
      <c r="C611" s="53" t="s">
        <v>83</v>
      </c>
      <c r="D611" s="53" t="s">
        <v>88</v>
      </c>
      <c r="E611" s="51" t="s">
        <v>84</v>
      </c>
      <c r="F611" s="53" t="s">
        <v>80</v>
      </c>
      <c r="G611" s="53">
        <v>17159</v>
      </c>
    </row>
    <row r="612" spans="1:7">
      <c r="A612" s="53">
        <v>83268714</v>
      </c>
      <c r="B612" s="53">
        <v>27</v>
      </c>
      <c r="C612" s="53" t="s">
        <v>83</v>
      </c>
      <c r="D612" s="53" t="s">
        <v>87</v>
      </c>
      <c r="E612" s="51" t="s">
        <v>86</v>
      </c>
      <c r="F612" s="53" t="s">
        <v>80</v>
      </c>
      <c r="G612" s="53">
        <v>12808</v>
      </c>
    </row>
    <row r="613" spans="1:7">
      <c r="A613" s="53">
        <v>89817675</v>
      </c>
      <c r="B613" s="53">
        <v>35</v>
      </c>
      <c r="C613" s="53" t="s">
        <v>83</v>
      </c>
      <c r="D613" s="53" t="s">
        <v>82</v>
      </c>
      <c r="E613" s="51" t="s">
        <v>81</v>
      </c>
      <c r="F613" s="53" t="s">
        <v>80</v>
      </c>
      <c r="G613" s="53">
        <v>10221</v>
      </c>
    </row>
    <row r="614" spans="1:7">
      <c r="A614" s="53">
        <v>84276347</v>
      </c>
      <c r="B614" s="53">
        <v>28</v>
      </c>
      <c r="C614" s="53" t="s">
        <v>85</v>
      </c>
      <c r="D614" s="53" t="s">
        <v>91</v>
      </c>
      <c r="E614" s="51" t="s">
        <v>86</v>
      </c>
      <c r="F614" s="53" t="s">
        <v>89</v>
      </c>
      <c r="G614" s="53">
        <v>4779</v>
      </c>
    </row>
    <row r="615" spans="1:7">
      <c r="A615" s="53">
        <v>88806861</v>
      </c>
      <c r="B615" s="53">
        <v>34</v>
      </c>
      <c r="C615" s="53" t="s">
        <v>93</v>
      </c>
      <c r="D615" s="53" t="s">
        <v>88</v>
      </c>
      <c r="E615" s="51" t="s">
        <v>81</v>
      </c>
      <c r="F615" s="53" t="s">
        <v>80</v>
      </c>
      <c r="G615" s="53">
        <v>3737</v>
      </c>
    </row>
    <row r="616" spans="1:7">
      <c r="A616" s="53">
        <v>84416782</v>
      </c>
      <c r="B616" s="53">
        <v>26</v>
      </c>
      <c r="C616" s="53" t="s">
        <v>83</v>
      </c>
      <c r="D616" s="53" t="s">
        <v>88</v>
      </c>
      <c r="E616" s="51" t="s">
        <v>86</v>
      </c>
      <c r="F616" s="53" t="s">
        <v>89</v>
      </c>
      <c r="G616" s="53">
        <v>2366</v>
      </c>
    </row>
    <row r="617" spans="1:7">
      <c r="A617" s="53">
        <v>85140843</v>
      </c>
      <c r="B617" s="53">
        <v>27</v>
      </c>
      <c r="C617" s="53" t="s">
        <v>83</v>
      </c>
      <c r="D617" s="53" t="s">
        <v>82</v>
      </c>
      <c r="E617" s="51" t="s">
        <v>86</v>
      </c>
      <c r="F617" s="53" t="s">
        <v>80</v>
      </c>
      <c r="G617" s="53">
        <v>1706</v>
      </c>
    </row>
    <row r="618" spans="1:7">
      <c r="A618" s="53">
        <v>80997654</v>
      </c>
      <c r="B618" s="53">
        <v>51</v>
      </c>
      <c r="C618" s="53" t="s">
        <v>85</v>
      </c>
      <c r="D618" s="53" t="s">
        <v>91</v>
      </c>
      <c r="E618" s="51" t="s">
        <v>90</v>
      </c>
      <c r="F618" s="53" t="s">
        <v>89</v>
      </c>
      <c r="G618" s="53">
        <v>16307</v>
      </c>
    </row>
    <row r="619" spans="1:7">
      <c r="A619" s="53">
        <v>80357606</v>
      </c>
      <c r="B619" s="53">
        <v>44</v>
      </c>
      <c r="C619" s="53" t="s">
        <v>83</v>
      </c>
      <c r="D619" s="53" t="s">
        <v>82</v>
      </c>
      <c r="E619" s="51" t="s">
        <v>84</v>
      </c>
      <c r="F619" s="53" t="s">
        <v>80</v>
      </c>
      <c r="G619" s="53">
        <v>5933</v>
      </c>
    </row>
    <row r="620" spans="1:7">
      <c r="A620" s="53">
        <v>88725339</v>
      </c>
      <c r="B620" s="53">
        <v>25</v>
      </c>
      <c r="C620" s="53" t="s">
        <v>83</v>
      </c>
      <c r="D620" s="53" t="s">
        <v>87</v>
      </c>
      <c r="E620" s="51" t="s">
        <v>86</v>
      </c>
      <c r="F620" s="53" t="s">
        <v>80</v>
      </c>
      <c r="G620" s="53">
        <v>3424</v>
      </c>
    </row>
    <row r="621" spans="1:7">
      <c r="A621" s="53">
        <v>85167777</v>
      </c>
      <c r="B621" s="53">
        <v>33</v>
      </c>
      <c r="C621" s="53" t="s">
        <v>85</v>
      </c>
      <c r="D621" s="53" t="s">
        <v>82</v>
      </c>
      <c r="E621" s="51" t="s">
        <v>81</v>
      </c>
      <c r="F621" s="53" t="s">
        <v>80</v>
      </c>
      <c r="G621" s="53">
        <v>4037</v>
      </c>
    </row>
    <row r="622" spans="1:7">
      <c r="A622" s="53">
        <v>87973383</v>
      </c>
      <c r="B622" s="53">
        <v>35</v>
      </c>
      <c r="C622" s="53" t="s">
        <v>83</v>
      </c>
      <c r="D622" s="53" t="s">
        <v>87</v>
      </c>
      <c r="E622" s="51" t="s">
        <v>81</v>
      </c>
      <c r="F622" s="53" t="s">
        <v>89</v>
      </c>
      <c r="G622" s="53">
        <v>2559</v>
      </c>
    </row>
    <row r="623" spans="1:7">
      <c r="A623" s="53">
        <v>87992563</v>
      </c>
      <c r="B623" s="53">
        <v>36</v>
      </c>
      <c r="C623" s="53" t="s">
        <v>85</v>
      </c>
      <c r="D623" s="53" t="s">
        <v>88</v>
      </c>
      <c r="E623" s="51" t="s">
        <v>81</v>
      </c>
      <c r="F623" s="53" t="s">
        <v>80</v>
      </c>
      <c r="G623" s="53">
        <v>6201</v>
      </c>
    </row>
    <row r="624" spans="1:7">
      <c r="A624" s="53">
        <v>84575945</v>
      </c>
      <c r="B624" s="53">
        <v>32</v>
      </c>
      <c r="C624" s="53" t="s">
        <v>85</v>
      </c>
      <c r="D624" s="53" t="s">
        <v>91</v>
      </c>
      <c r="E624" s="51" t="s">
        <v>81</v>
      </c>
      <c r="F624" s="53" t="s">
        <v>80</v>
      </c>
      <c r="G624" s="53">
        <v>4403</v>
      </c>
    </row>
    <row r="625" spans="1:7">
      <c r="A625" s="53">
        <v>81647651</v>
      </c>
      <c r="B625" s="53">
        <v>30</v>
      </c>
      <c r="C625" s="53" t="s">
        <v>83</v>
      </c>
      <c r="D625" s="53" t="s">
        <v>91</v>
      </c>
      <c r="E625" s="51" t="s">
        <v>81</v>
      </c>
      <c r="F625" s="53" t="s">
        <v>80</v>
      </c>
      <c r="G625" s="53">
        <v>3761</v>
      </c>
    </row>
    <row r="626" spans="1:7">
      <c r="A626" s="53">
        <v>80003802</v>
      </c>
      <c r="B626" s="53">
        <v>53</v>
      </c>
      <c r="C626" s="53" t="s">
        <v>85</v>
      </c>
      <c r="D626" s="53" t="s">
        <v>88</v>
      </c>
      <c r="E626" s="51" t="s">
        <v>90</v>
      </c>
      <c r="F626" s="53" t="s">
        <v>89</v>
      </c>
      <c r="G626" s="53">
        <v>10934</v>
      </c>
    </row>
    <row r="627" spans="1:7">
      <c r="A627" s="53">
        <v>85836769</v>
      </c>
      <c r="B627" s="53">
        <v>45</v>
      </c>
      <c r="C627" s="53" t="s">
        <v>85</v>
      </c>
      <c r="D627" s="53" t="s">
        <v>82</v>
      </c>
      <c r="E627" s="51" t="s">
        <v>84</v>
      </c>
      <c r="F627" s="53" t="s">
        <v>80</v>
      </c>
      <c r="G627" s="53">
        <v>10761</v>
      </c>
    </row>
    <row r="628" spans="1:7">
      <c r="A628" s="53">
        <v>85127230</v>
      </c>
      <c r="B628" s="53">
        <v>32</v>
      </c>
      <c r="C628" s="53" t="s">
        <v>83</v>
      </c>
      <c r="D628" s="53" t="s">
        <v>88</v>
      </c>
      <c r="E628" s="51" t="s">
        <v>81</v>
      </c>
      <c r="F628" s="53" t="s">
        <v>89</v>
      </c>
      <c r="G628" s="53">
        <v>5175</v>
      </c>
    </row>
    <row r="629" spans="1:7">
      <c r="A629" s="53">
        <v>83214094</v>
      </c>
      <c r="B629" s="53">
        <v>52</v>
      </c>
      <c r="C629" s="53" t="s">
        <v>83</v>
      </c>
      <c r="D629" s="53" t="s">
        <v>91</v>
      </c>
      <c r="E629" s="51" t="s">
        <v>90</v>
      </c>
      <c r="F629" s="53" t="s">
        <v>89</v>
      </c>
      <c r="G629" s="53">
        <v>13826</v>
      </c>
    </row>
    <row r="630" spans="1:7">
      <c r="A630" s="53">
        <v>85444203</v>
      </c>
      <c r="B630" s="53">
        <v>37</v>
      </c>
      <c r="C630" s="53" t="s">
        <v>85</v>
      </c>
      <c r="D630" s="53" t="s">
        <v>91</v>
      </c>
      <c r="E630" s="51" t="s">
        <v>81</v>
      </c>
      <c r="F630" s="53" t="s">
        <v>80</v>
      </c>
      <c r="G630" s="53">
        <v>6334</v>
      </c>
    </row>
    <row r="631" spans="1:7">
      <c r="A631" s="53">
        <v>81494460</v>
      </c>
      <c r="B631" s="53">
        <v>28</v>
      </c>
      <c r="C631" s="53" t="s">
        <v>93</v>
      </c>
      <c r="D631" s="53" t="s">
        <v>88</v>
      </c>
      <c r="E631" s="51" t="s">
        <v>86</v>
      </c>
      <c r="F631" s="53" t="s">
        <v>80</v>
      </c>
      <c r="G631" s="53">
        <v>4936</v>
      </c>
    </row>
    <row r="632" spans="1:7">
      <c r="A632" s="53">
        <v>83738231</v>
      </c>
      <c r="B632" s="53">
        <v>22</v>
      </c>
      <c r="C632" s="53" t="s">
        <v>83</v>
      </c>
      <c r="D632" s="53" t="s">
        <v>88</v>
      </c>
      <c r="E632" s="51" t="s">
        <v>86</v>
      </c>
      <c r="F632" s="53" t="s">
        <v>80</v>
      </c>
      <c r="G632" s="53">
        <v>4775</v>
      </c>
    </row>
    <row r="633" spans="1:7">
      <c r="A633" s="53">
        <v>89303530</v>
      </c>
      <c r="B633" s="53">
        <v>44</v>
      </c>
      <c r="C633" s="53" t="s">
        <v>83</v>
      </c>
      <c r="D633" s="53" t="s">
        <v>91</v>
      </c>
      <c r="E633" s="51" t="s">
        <v>84</v>
      </c>
      <c r="F633" s="53" t="s">
        <v>80</v>
      </c>
      <c r="G633" s="53">
        <v>2818</v>
      </c>
    </row>
    <row r="634" spans="1:7">
      <c r="A634" s="53">
        <v>81202538</v>
      </c>
      <c r="B634" s="53">
        <v>42</v>
      </c>
      <c r="C634" s="53" t="s">
        <v>83</v>
      </c>
      <c r="D634" s="53" t="s">
        <v>87</v>
      </c>
      <c r="E634" s="51" t="s">
        <v>84</v>
      </c>
      <c r="F634" s="53" t="s">
        <v>80</v>
      </c>
      <c r="G634" s="53">
        <v>2515</v>
      </c>
    </row>
    <row r="635" spans="1:7">
      <c r="A635" s="53">
        <v>80344039</v>
      </c>
      <c r="B635" s="53">
        <v>36</v>
      </c>
      <c r="C635" s="53" t="s">
        <v>93</v>
      </c>
      <c r="D635" s="53" t="s">
        <v>82</v>
      </c>
      <c r="E635" s="51" t="s">
        <v>81</v>
      </c>
      <c r="F635" s="53" t="s">
        <v>80</v>
      </c>
      <c r="G635" s="53">
        <v>2342</v>
      </c>
    </row>
    <row r="636" spans="1:7">
      <c r="A636" s="53">
        <v>86759760</v>
      </c>
      <c r="B636" s="53">
        <v>25</v>
      </c>
      <c r="C636" s="53" t="s">
        <v>85</v>
      </c>
      <c r="D636" s="53" t="s">
        <v>87</v>
      </c>
      <c r="E636" s="51" t="s">
        <v>86</v>
      </c>
      <c r="F636" s="53" t="s">
        <v>80</v>
      </c>
      <c r="G636" s="53">
        <v>4194</v>
      </c>
    </row>
    <row r="637" spans="1:7">
      <c r="A637" s="53">
        <v>84274047</v>
      </c>
      <c r="B637" s="53">
        <v>35</v>
      </c>
      <c r="C637" s="53" t="s">
        <v>83</v>
      </c>
      <c r="D637" s="53" t="s">
        <v>82</v>
      </c>
      <c r="E637" s="51" t="s">
        <v>81</v>
      </c>
      <c r="F637" s="53" t="s">
        <v>89</v>
      </c>
      <c r="G637" s="53">
        <v>10685</v>
      </c>
    </row>
    <row r="638" spans="1:7">
      <c r="A638" s="53">
        <v>84793731</v>
      </c>
      <c r="B638" s="53">
        <v>35</v>
      </c>
      <c r="C638" s="53" t="s">
        <v>83</v>
      </c>
      <c r="D638" s="53" t="s">
        <v>91</v>
      </c>
      <c r="E638" s="51" t="s">
        <v>81</v>
      </c>
      <c r="F638" s="53" t="s">
        <v>89</v>
      </c>
      <c r="G638" s="53">
        <v>2022</v>
      </c>
    </row>
    <row r="639" spans="1:7">
      <c r="A639" s="53">
        <v>84398609</v>
      </c>
      <c r="B639" s="53">
        <v>32</v>
      </c>
      <c r="C639" s="53" t="s">
        <v>83</v>
      </c>
      <c r="D639" s="53" t="s">
        <v>82</v>
      </c>
      <c r="E639" s="51" t="s">
        <v>81</v>
      </c>
      <c r="F639" s="53" t="s">
        <v>80</v>
      </c>
      <c r="G639" s="53">
        <v>2314</v>
      </c>
    </row>
    <row r="640" spans="1:7">
      <c r="A640" s="53">
        <v>87145845</v>
      </c>
      <c r="B640" s="53">
        <v>25</v>
      </c>
      <c r="C640" s="53" t="s">
        <v>85</v>
      </c>
      <c r="D640" s="53" t="s">
        <v>87</v>
      </c>
      <c r="E640" s="51" t="s">
        <v>86</v>
      </c>
      <c r="F640" s="53" t="s">
        <v>80</v>
      </c>
      <c r="G640" s="53">
        <v>4256</v>
      </c>
    </row>
    <row r="641" spans="1:7">
      <c r="A641" s="53">
        <v>81422194</v>
      </c>
      <c r="B641" s="53">
        <v>49</v>
      </c>
      <c r="C641" s="53" t="s">
        <v>83</v>
      </c>
      <c r="D641" s="53" t="s">
        <v>82</v>
      </c>
      <c r="E641" s="51" t="s">
        <v>84</v>
      </c>
      <c r="F641" s="53" t="s">
        <v>89</v>
      </c>
      <c r="G641" s="53">
        <v>3580</v>
      </c>
    </row>
    <row r="642" spans="1:7">
      <c r="A642" s="53">
        <v>89621570</v>
      </c>
      <c r="B642" s="53">
        <v>24</v>
      </c>
      <c r="C642" s="53" t="s">
        <v>83</v>
      </c>
      <c r="D642" s="53" t="s">
        <v>87</v>
      </c>
      <c r="E642" s="51" t="s">
        <v>86</v>
      </c>
      <c r="F642" s="53" t="s">
        <v>80</v>
      </c>
      <c r="G642" s="53">
        <v>3162</v>
      </c>
    </row>
    <row r="643" spans="1:7">
      <c r="A643" s="53">
        <v>89589228</v>
      </c>
      <c r="B643" s="53">
        <v>32</v>
      </c>
      <c r="C643" s="53" t="s">
        <v>85</v>
      </c>
      <c r="D643" s="53" t="s">
        <v>88</v>
      </c>
      <c r="E643" s="51" t="s">
        <v>81</v>
      </c>
      <c r="F643" s="53" t="s">
        <v>80</v>
      </c>
      <c r="G643" s="53">
        <v>6524</v>
      </c>
    </row>
    <row r="644" spans="1:7">
      <c r="A644" s="53">
        <v>86599950</v>
      </c>
      <c r="B644" s="53">
        <v>38</v>
      </c>
      <c r="C644" s="53" t="s">
        <v>85</v>
      </c>
      <c r="D644" s="53" t="s">
        <v>82</v>
      </c>
      <c r="E644" s="51" t="s">
        <v>81</v>
      </c>
      <c r="F644" s="53" t="s">
        <v>80</v>
      </c>
      <c r="G644" s="53">
        <v>2899</v>
      </c>
    </row>
    <row r="645" spans="1:7">
      <c r="A645" s="53">
        <v>86440309</v>
      </c>
      <c r="B645" s="53">
        <v>42</v>
      </c>
      <c r="C645" s="53" t="s">
        <v>83</v>
      </c>
      <c r="D645" s="53" t="s">
        <v>82</v>
      </c>
      <c r="E645" s="51" t="s">
        <v>84</v>
      </c>
      <c r="F645" s="53" t="s">
        <v>89</v>
      </c>
      <c r="G645" s="53">
        <v>5231</v>
      </c>
    </row>
    <row r="646" spans="1:7">
      <c r="A646" s="53">
        <v>87966499</v>
      </c>
      <c r="B646" s="53">
        <v>31</v>
      </c>
      <c r="C646" s="53" t="s">
        <v>83</v>
      </c>
      <c r="D646" s="53" t="s">
        <v>91</v>
      </c>
      <c r="E646" s="51" t="s">
        <v>81</v>
      </c>
      <c r="F646" s="53" t="s">
        <v>80</v>
      </c>
      <c r="G646" s="53">
        <v>2356</v>
      </c>
    </row>
    <row r="647" spans="1:7">
      <c r="A647" s="53">
        <v>86878438</v>
      </c>
      <c r="B647" s="53">
        <v>29</v>
      </c>
      <c r="C647" s="53" t="s">
        <v>85</v>
      </c>
      <c r="D647" s="53" t="s">
        <v>82</v>
      </c>
      <c r="E647" s="51" t="s">
        <v>86</v>
      </c>
      <c r="F647" s="53" t="s">
        <v>89</v>
      </c>
      <c r="G647" s="53">
        <v>2800</v>
      </c>
    </row>
    <row r="648" spans="1:7">
      <c r="A648" s="53">
        <v>86271473</v>
      </c>
      <c r="B648" s="53">
        <v>53</v>
      </c>
      <c r="C648" s="53" t="s">
        <v>85</v>
      </c>
      <c r="D648" s="53" t="s">
        <v>82</v>
      </c>
      <c r="E648" s="51" t="s">
        <v>90</v>
      </c>
      <c r="F648" s="53" t="s">
        <v>80</v>
      </c>
      <c r="G648" s="53">
        <v>11836</v>
      </c>
    </row>
    <row r="649" spans="1:7">
      <c r="A649" s="53">
        <v>81755695</v>
      </c>
      <c r="B649" s="53">
        <v>35</v>
      </c>
      <c r="C649" s="53" t="s">
        <v>83</v>
      </c>
      <c r="D649" s="53" t="s">
        <v>82</v>
      </c>
      <c r="E649" s="51" t="s">
        <v>81</v>
      </c>
      <c r="F649" s="53" t="s">
        <v>80</v>
      </c>
      <c r="G649" s="53">
        <v>10903</v>
      </c>
    </row>
    <row r="650" spans="1:7">
      <c r="A650" s="53">
        <v>85361041</v>
      </c>
      <c r="B650" s="53">
        <v>37</v>
      </c>
      <c r="C650" s="53" t="s">
        <v>85</v>
      </c>
      <c r="D650" s="53" t="s">
        <v>88</v>
      </c>
      <c r="E650" s="51" t="s">
        <v>81</v>
      </c>
      <c r="F650" s="53" t="s">
        <v>89</v>
      </c>
      <c r="G650" s="53">
        <v>2973</v>
      </c>
    </row>
    <row r="651" spans="1:7">
      <c r="A651" s="53">
        <v>84155272</v>
      </c>
      <c r="B651" s="53">
        <v>53</v>
      </c>
      <c r="C651" s="53" t="s">
        <v>83</v>
      </c>
      <c r="D651" s="53" t="s">
        <v>91</v>
      </c>
      <c r="E651" s="51" t="s">
        <v>90</v>
      </c>
      <c r="F651" s="53" t="s">
        <v>89</v>
      </c>
      <c r="G651" s="53">
        <v>14275</v>
      </c>
    </row>
    <row r="652" spans="1:7">
      <c r="A652" s="53">
        <v>89119632</v>
      </c>
      <c r="B652" s="53">
        <v>43</v>
      </c>
      <c r="C652" s="53" t="s">
        <v>83</v>
      </c>
      <c r="D652" s="53" t="s">
        <v>82</v>
      </c>
      <c r="E652" s="51" t="s">
        <v>84</v>
      </c>
      <c r="F652" s="53" t="s">
        <v>89</v>
      </c>
      <c r="G652" s="53">
        <v>5562</v>
      </c>
    </row>
    <row r="653" spans="1:7">
      <c r="A653" s="53">
        <v>85199211</v>
      </c>
      <c r="B653" s="53">
        <v>47</v>
      </c>
      <c r="C653" s="53" t="s">
        <v>85</v>
      </c>
      <c r="D653" s="53" t="s">
        <v>88</v>
      </c>
      <c r="E653" s="51" t="s">
        <v>84</v>
      </c>
      <c r="F653" s="53" t="s">
        <v>89</v>
      </c>
      <c r="G653" s="53">
        <v>4537</v>
      </c>
    </row>
    <row r="654" spans="1:7">
      <c r="A654" s="53">
        <v>81062043</v>
      </c>
      <c r="B654" s="53">
        <v>37</v>
      </c>
      <c r="C654" s="53" t="s">
        <v>85</v>
      </c>
      <c r="D654" s="53" t="s">
        <v>88</v>
      </c>
      <c r="E654" s="51" t="s">
        <v>81</v>
      </c>
      <c r="F654" s="53" t="s">
        <v>80</v>
      </c>
      <c r="G654" s="53">
        <v>7642</v>
      </c>
    </row>
    <row r="655" spans="1:7">
      <c r="A655" s="53">
        <v>83517698</v>
      </c>
      <c r="B655" s="53">
        <v>50</v>
      </c>
      <c r="C655" s="53" t="s">
        <v>83</v>
      </c>
      <c r="D655" s="53" t="s">
        <v>91</v>
      </c>
      <c r="E655" s="51" t="s">
        <v>90</v>
      </c>
      <c r="F655" s="53" t="s">
        <v>80</v>
      </c>
      <c r="G655" s="53">
        <v>17924</v>
      </c>
    </row>
    <row r="656" spans="1:7">
      <c r="A656" s="53">
        <v>86524013</v>
      </c>
      <c r="B656" s="53">
        <v>39</v>
      </c>
      <c r="C656" s="53" t="s">
        <v>93</v>
      </c>
      <c r="D656" s="53" t="s">
        <v>82</v>
      </c>
      <c r="E656" s="51" t="s">
        <v>81</v>
      </c>
      <c r="F656" s="53" t="s">
        <v>89</v>
      </c>
      <c r="G656" s="53">
        <v>5204</v>
      </c>
    </row>
    <row r="657" spans="1:7">
      <c r="A657" s="53">
        <v>87758447</v>
      </c>
      <c r="B657" s="53">
        <v>33</v>
      </c>
      <c r="C657" s="53" t="s">
        <v>93</v>
      </c>
      <c r="D657" s="53" t="s">
        <v>88</v>
      </c>
      <c r="E657" s="51" t="s">
        <v>81</v>
      </c>
      <c r="F657" s="53" t="s">
        <v>80</v>
      </c>
      <c r="G657" s="53">
        <v>2277</v>
      </c>
    </row>
    <row r="658" spans="1:7">
      <c r="A658" s="53">
        <v>88409913</v>
      </c>
      <c r="B658" s="53">
        <v>32</v>
      </c>
      <c r="C658" s="53" t="s">
        <v>83</v>
      </c>
      <c r="D658" s="53" t="s">
        <v>91</v>
      </c>
      <c r="E658" s="51" t="s">
        <v>81</v>
      </c>
      <c r="F658" s="53" t="s">
        <v>80</v>
      </c>
      <c r="G658" s="53">
        <v>2795</v>
      </c>
    </row>
    <row r="659" spans="1:7">
      <c r="A659" s="53">
        <v>85186458</v>
      </c>
      <c r="B659" s="53">
        <v>29</v>
      </c>
      <c r="C659" s="53" t="s">
        <v>83</v>
      </c>
      <c r="D659" s="53" t="s">
        <v>87</v>
      </c>
      <c r="E659" s="51" t="s">
        <v>86</v>
      </c>
      <c r="F659" s="53" t="s">
        <v>89</v>
      </c>
      <c r="G659" s="53">
        <v>2532</v>
      </c>
    </row>
    <row r="660" spans="1:7">
      <c r="A660" s="53">
        <v>85647950</v>
      </c>
      <c r="B660" s="53">
        <v>44</v>
      </c>
      <c r="C660" s="53" t="s">
        <v>83</v>
      </c>
      <c r="D660" s="53" t="s">
        <v>88</v>
      </c>
      <c r="E660" s="51" t="s">
        <v>84</v>
      </c>
      <c r="F660" s="53" t="s">
        <v>80</v>
      </c>
      <c r="G660" s="53">
        <v>2559</v>
      </c>
    </row>
    <row r="661" spans="1:7">
      <c r="A661" s="53">
        <v>88536107</v>
      </c>
      <c r="B661" s="53">
        <v>28</v>
      </c>
      <c r="C661" s="53" t="s">
        <v>85</v>
      </c>
      <c r="D661" s="53" t="s">
        <v>91</v>
      </c>
      <c r="E661" s="51" t="s">
        <v>86</v>
      </c>
      <c r="F661" s="53" t="s">
        <v>80</v>
      </c>
      <c r="G661" s="53">
        <v>4908</v>
      </c>
    </row>
    <row r="662" spans="1:7">
      <c r="A662" s="53">
        <v>87304265</v>
      </c>
      <c r="B662" s="53">
        <v>58</v>
      </c>
      <c r="C662" s="53" t="s">
        <v>83</v>
      </c>
      <c r="D662" s="53" t="s">
        <v>87</v>
      </c>
      <c r="E662" s="51" t="s">
        <v>90</v>
      </c>
      <c r="F662" s="53" t="s">
        <v>80</v>
      </c>
      <c r="G662" s="53">
        <v>2380</v>
      </c>
    </row>
    <row r="663" spans="1:7">
      <c r="A663" s="53">
        <v>86729466</v>
      </c>
      <c r="B663" s="53">
        <v>43</v>
      </c>
      <c r="C663" s="53" t="s">
        <v>83</v>
      </c>
      <c r="D663" s="53" t="s">
        <v>82</v>
      </c>
      <c r="E663" s="51" t="s">
        <v>84</v>
      </c>
      <c r="F663" s="53" t="s">
        <v>89</v>
      </c>
      <c r="G663" s="53">
        <v>4765</v>
      </c>
    </row>
    <row r="664" spans="1:7">
      <c r="A664" s="53">
        <v>87720203</v>
      </c>
      <c r="B664" s="53">
        <v>20</v>
      </c>
      <c r="C664" s="53" t="s">
        <v>85</v>
      </c>
      <c r="D664" s="53" t="s">
        <v>82</v>
      </c>
      <c r="E664" s="51" t="s">
        <v>86</v>
      </c>
      <c r="F664" s="53" t="s">
        <v>89</v>
      </c>
      <c r="G664" s="53">
        <v>2044</v>
      </c>
    </row>
    <row r="665" spans="1:7">
      <c r="A665" s="53">
        <v>88567204</v>
      </c>
      <c r="B665" s="53">
        <v>21</v>
      </c>
      <c r="C665" s="53" t="s">
        <v>83</v>
      </c>
      <c r="D665" s="53" t="s">
        <v>87</v>
      </c>
      <c r="E665" s="51" t="s">
        <v>86</v>
      </c>
      <c r="F665" s="53" t="s">
        <v>89</v>
      </c>
      <c r="G665" s="53">
        <v>2693</v>
      </c>
    </row>
    <row r="666" spans="1:7">
      <c r="A666" s="53">
        <v>85456204</v>
      </c>
      <c r="B666" s="53">
        <v>36</v>
      </c>
      <c r="C666" s="53" t="s">
        <v>83</v>
      </c>
      <c r="D666" s="53" t="s">
        <v>87</v>
      </c>
      <c r="E666" s="51" t="s">
        <v>81</v>
      </c>
      <c r="F666" s="53" t="s">
        <v>80</v>
      </c>
      <c r="G666" s="53">
        <v>6586</v>
      </c>
    </row>
    <row r="667" spans="1:7">
      <c r="A667" s="53">
        <v>83483963</v>
      </c>
      <c r="B667" s="53">
        <v>47</v>
      </c>
      <c r="C667" s="53" t="s">
        <v>85</v>
      </c>
      <c r="D667" s="53" t="s">
        <v>91</v>
      </c>
      <c r="E667" s="51" t="s">
        <v>84</v>
      </c>
      <c r="F667" s="53" t="s">
        <v>89</v>
      </c>
      <c r="G667" s="53">
        <v>3294</v>
      </c>
    </row>
    <row r="668" spans="1:7">
      <c r="A668" s="53">
        <v>88995328</v>
      </c>
      <c r="B668" s="53">
        <v>22</v>
      </c>
      <c r="C668" s="53" t="s">
        <v>83</v>
      </c>
      <c r="D668" s="53" t="s">
        <v>87</v>
      </c>
      <c r="E668" s="51" t="s">
        <v>86</v>
      </c>
      <c r="F668" s="53" t="s">
        <v>89</v>
      </c>
      <c r="G668" s="53">
        <v>4171</v>
      </c>
    </row>
    <row r="669" spans="1:7">
      <c r="A669" s="53">
        <v>88090548</v>
      </c>
      <c r="B669" s="53">
        <v>41</v>
      </c>
      <c r="C669" s="53" t="s">
        <v>83</v>
      </c>
      <c r="D669" s="53" t="s">
        <v>91</v>
      </c>
      <c r="E669" s="51" t="s">
        <v>84</v>
      </c>
      <c r="F669" s="53" t="s">
        <v>89</v>
      </c>
      <c r="G669" s="53">
        <v>2778</v>
      </c>
    </row>
    <row r="670" spans="1:7">
      <c r="A670" s="53">
        <v>89643973</v>
      </c>
      <c r="B670" s="53">
        <v>28</v>
      </c>
      <c r="C670" s="53" t="s">
        <v>83</v>
      </c>
      <c r="D670" s="53" t="s">
        <v>82</v>
      </c>
      <c r="E670" s="51" t="s">
        <v>86</v>
      </c>
      <c r="F670" s="53" t="s">
        <v>89</v>
      </c>
      <c r="G670" s="53">
        <v>2377</v>
      </c>
    </row>
    <row r="671" spans="1:7">
      <c r="A671" s="53">
        <v>83785477</v>
      </c>
      <c r="B671" s="53">
        <v>39</v>
      </c>
      <c r="C671" s="53" t="s">
        <v>83</v>
      </c>
      <c r="D671" s="53" t="s">
        <v>82</v>
      </c>
      <c r="E671" s="51" t="s">
        <v>81</v>
      </c>
      <c r="F671" s="53" t="s">
        <v>80</v>
      </c>
      <c r="G671" s="53">
        <v>2404</v>
      </c>
    </row>
    <row r="672" spans="1:7">
      <c r="A672" s="53">
        <v>80637393</v>
      </c>
      <c r="B672" s="53">
        <v>27</v>
      </c>
      <c r="C672" s="53" t="s">
        <v>83</v>
      </c>
      <c r="D672" s="53" t="s">
        <v>82</v>
      </c>
      <c r="E672" s="51" t="s">
        <v>86</v>
      </c>
      <c r="F672" s="53" t="s">
        <v>89</v>
      </c>
      <c r="G672" s="53">
        <v>2318</v>
      </c>
    </row>
    <row r="673" spans="1:7">
      <c r="A673" s="53">
        <v>87859647</v>
      </c>
      <c r="B673" s="53">
        <v>34</v>
      </c>
      <c r="C673" s="53" t="s">
        <v>83</v>
      </c>
      <c r="D673" s="53" t="s">
        <v>82</v>
      </c>
      <c r="E673" s="51" t="s">
        <v>81</v>
      </c>
      <c r="F673" s="53" t="s">
        <v>80</v>
      </c>
      <c r="G673" s="53">
        <v>2008</v>
      </c>
    </row>
    <row r="674" spans="1:7">
      <c r="A674" s="53">
        <v>86713250</v>
      </c>
      <c r="B674" s="53">
        <v>42</v>
      </c>
      <c r="C674" s="53" t="s">
        <v>85</v>
      </c>
      <c r="D674" s="53" t="s">
        <v>88</v>
      </c>
      <c r="E674" s="51" t="s">
        <v>84</v>
      </c>
      <c r="F674" s="53" t="s">
        <v>89</v>
      </c>
      <c r="G674" s="53">
        <v>6244</v>
      </c>
    </row>
    <row r="675" spans="1:7">
      <c r="A675" s="53">
        <v>84402369</v>
      </c>
      <c r="B675" s="53">
        <v>33</v>
      </c>
      <c r="C675" s="53" t="s">
        <v>83</v>
      </c>
      <c r="D675" s="53" t="s">
        <v>91</v>
      </c>
      <c r="E675" s="51" t="s">
        <v>81</v>
      </c>
      <c r="F675" s="53" t="s">
        <v>80</v>
      </c>
      <c r="G675" s="53">
        <v>2799</v>
      </c>
    </row>
    <row r="676" spans="1:7">
      <c r="A676" s="53">
        <v>86373198</v>
      </c>
      <c r="B676" s="53">
        <v>58</v>
      </c>
      <c r="C676" s="53" t="s">
        <v>83</v>
      </c>
      <c r="D676" s="53" t="s">
        <v>82</v>
      </c>
      <c r="E676" s="51" t="s">
        <v>90</v>
      </c>
      <c r="F676" s="53" t="s">
        <v>89</v>
      </c>
      <c r="G676" s="53">
        <v>10552</v>
      </c>
    </row>
    <row r="677" spans="1:7">
      <c r="A677" s="53">
        <v>87711872</v>
      </c>
      <c r="B677" s="53">
        <v>31</v>
      </c>
      <c r="C677" s="53" t="s">
        <v>85</v>
      </c>
      <c r="D677" s="53" t="s">
        <v>91</v>
      </c>
      <c r="E677" s="51" t="s">
        <v>81</v>
      </c>
      <c r="F677" s="53" t="s">
        <v>80</v>
      </c>
      <c r="G677" s="53">
        <v>2329</v>
      </c>
    </row>
    <row r="678" spans="1:7">
      <c r="A678" s="53">
        <v>85360132</v>
      </c>
      <c r="B678" s="53">
        <v>35</v>
      </c>
      <c r="C678" s="53" t="s">
        <v>83</v>
      </c>
      <c r="D678" s="53" t="s">
        <v>87</v>
      </c>
      <c r="E678" s="51" t="s">
        <v>81</v>
      </c>
      <c r="F678" s="53" t="s">
        <v>89</v>
      </c>
      <c r="G678" s="53">
        <v>4014</v>
      </c>
    </row>
    <row r="679" spans="1:7">
      <c r="A679" s="53">
        <v>87949790</v>
      </c>
      <c r="B679" s="53">
        <v>49</v>
      </c>
      <c r="C679" s="53" t="s">
        <v>83</v>
      </c>
      <c r="D679" s="53" t="s">
        <v>88</v>
      </c>
      <c r="E679" s="51" t="s">
        <v>84</v>
      </c>
      <c r="F679" s="53" t="s">
        <v>89</v>
      </c>
      <c r="G679" s="53">
        <v>7403</v>
      </c>
    </row>
    <row r="680" spans="1:7">
      <c r="A680" s="53">
        <v>87784136</v>
      </c>
      <c r="B680" s="53">
        <v>48</v>
      </c>
      <c r="C680" s="53" t="s">
        <v>83</v>
      </c>
      <c r="D680" s="53" t="s">
        <v>91</v>
      </c>
      <c r="E680" s="51" t="s">
        <v>84</v>
      </c>
      <c r="F680" s="53" t="s">
        <v>80</v>
      </c>
      <c r="G680" s="53">
        <v>2259</v>
      </c>
    </row>
    <row r="681" spans="1:7">
      <c r="A681" s="53">
        <v>81355256</v>
      </c>
      <c r="B681" s="53">
        <v>31</v>
      </c>
      <c r="C681" s="53" t="s">
        <v>85</v>
      </c>
      <c r="D681" s="53" t="s">
        <v>88</v>
      </c>
      <c r="E681" s="51" t="s">
        <v>81</v>
      </c>
      <c r="F681" s="53" t="s">
        <v>89</v>
      </c>
      <c r="G681" s="53">
        <v>6932</v>
      </c>
    </row>
    <row r="682" spans="1:7">
      <c r="A682" s="53">
        <v>84514055</v>
      </c>
      <c r="B682" s="53">
        <v>36</v>
      </c>
      <c r="C682" s="53" t="s">
        <v>83</v>
      </c>
      <c r="D682" s="53" t="s">
        <v>91</v>
      </c>
      <c r="E682" s="51" t="s">
        <v>81</v>
      </c>
      <c r="F682" s="53" t="s">
        <v>80</v>
      </c>
      <c r="G682" s="53">
        <v>4678</v>
      </c>
    </row>
    <row r="683" spans="1:7">
      <c r="A683" s="53">
        <v>85326999</v>
      </c>
      <c r="B683" s="53">
        <v>38</v>
      </c>
      <c r="C683" s="53" t="s">
        <v>83</v>
      </c>
      <c r="D683" s="53" t="s">
        <v>82</v>
      </c>
      <c r="E683" s="51" t="s">
        <v>81</v>
      </c>
      <c r="F683" s="53" t="s">
        <v>89</v>
      </c>
      <c r="G683" s="53">
        <v>13582</v>
      </c>
    </row>
    <row r="684" spans="1:7">
      <c r="A684" s="53">
        <v>86168091</v>
      </c>
      <c r="B684" s="53">
        <v>32</v>
      </c>
      <c r="C684" s="53" t="s">
        <v>83</v>
      </c>
      <c r="D684" s="53" t="s">
        <v>82</v>
      </c>
      <c r="E684" s="51" t="s">
        <v>81</v>
      </c>
      <c r="F684" s="53" t="s">
        <v>89</v>
      </c>
      <c r="G684" s="53">
        <v>2332</v>
      </c>
    </row>
    <row r="685" spans="1:7">
      <c r="A685" s="53">
        <v>85570759</v>
      </c>
      <c r="B685" s="53">
        <v>25</v>
      </c>
      <c r="C685" s="53" t="s">
        <v>85</v>
      </c>
      <c r="D685" s="53" t="s">
        <v>88</v>
      </c>
      <c r="E685" s="51" t="s">
        <v>86</v>
      </c>
      <c r="F685" s="53" t="s">
        <v>80</v>
      </c>
      <c r="G685" s="53">
        <v>2413</v>
      </c>
    </row>
    <row r="686" spans="1:7">
      <c r="A686" s="53">
        <v>85353495</v>
      </c>
      <c r="B686" s="53">
        <v>40</v>
      </c>
      <c r="C686" s="53" t="s">
        <v>85</v>
      </c>
      <c r="D686" s="53" t="s">
        <v>91</v>
      </c>
      <c r="E686" s="51" t="s">
        <v>84</v>
      </c>
      <c r="F686" s="53" t="s">
        <v>80</v>
      </c>
      <c r="G686" s="53">
        <v>9705</v>
      </c>
    </row>
    <row r="687" spans="1:7">
      <c r="A687" s="53">
        <v>88332733</v>
      </c>
      <c r="B687" s="53">
        <v>26</v>
      </c>
      <c r="C687" s="53" t="s">
        <v>85</v>
      </c>
      <c r="D687" s="53" t="s">
        <v>82</v>
      </c>
      <c r="E687" s="51" t="s">
        <v>86</v>
      </c>
      <c r="F687" s="53" t="s">
        <v>80</v>
      </c>
      <c r="G687" s="53">
        <v>4294</v>
      </c>
    </row>
    <row r="688" spans="1:7">
      <c r="A688" s="53">
        <v>83156118</v>
      </c>
      <c r="B688" s="53">
        <v>41</v>
      </c>
      <c r="C688" s="53" t="s">
        <v>83</v>
      </c>
      <c r="D688" s="53" t="s">
        <v>82</v>
      </c>
      <c r="E688" s="51" t="s">
        <v>84</v>
      </c>
      <c r="F688" s="53" t="s">
        <v>80</v>
      </c>
      <c r="G688" s="53">
        <v>4721</v>
      </c>
    </row>
    <row r="689" spans="1:7">
      <c r="A689" s="53">
        <v>86759245</v>
      </c>
      <c r="B689" s="53">
        <v>36</v>
      </c>
      <c r="C689" s="53" t="s">
        <v>83</v>
      </c>
      <c r="D689" s="53" t="s">
        <v>91</v>
      </c>
      <c r="E689" s="51" t="s">
        <v>81</v>
      </c>
      <c r="F689" s="53" t="s">
        <v>80</v>
      </c>
      <c r="G689" s="53">
        <v>2519</v>
      </c>
    </row>
    <row r="690" spans="1:7">
      <c r="A690" s="53">
        <v>80595104</v>
      </c>
      <c r="B690" s="53">
        <v>26</v>
      </c>
      <c r="C690" s="53" t="s">
        <v>85</v>
      </c>
      <c r="D690" s="53" t="s">
        <v>82</v>
      </c>
      <c r="E690" s="51" t="s">
        <v>95</v>
      </c>
      <c r="F690" s="53" t="s">
        <v>80</v>
      </c>
      <c r="G690" s="53">
        <v>2121</v>
      </c>
    </row>
    <row r="691" spans="1:7">
      <c r="A691" s="53">
        <v>82674352</v>
      </c>
      <c r="B691" s="53">
        <v>20</v>
      </c>
      <c r="C691" s="53" t="s">
        <v>83</v>
      </c>
      <c r="D691" s="53" t="s">
        <v>82</v>
      </c>
      <c r="E691" s="51" t="s">
        <v>86</v>
      </c>
      <c r="F691" s="53" t="s">
        <v>80</v>
      </c>
      <c r="G691" s="53">
        <v>2973</v>
      </c>
    </row>
    <row r="692" spans="1:7">
      <c r="A692" s="53">
        <v>83563716</v>
      </c>
      <c r="B692" s="53">
        <v>31</v>
      </c>
      <c r="C692" s="53" t="s">
        <v>83</v>
      </c>
      <c r="D692" s="53" t="s">
        <v>82</v>
      </c>
      <c r="E692" s="51" t="s">
        <v>81</v>
      </c>
      <c r="F692" s="53" t="s">
        <v>89</v>
      </c>
      <c r="G692" s="53">
        <v>5855</v>
      </c>
    </row>
    <row r="693" spans="1:7">
      <c r="A693" s="53">
        <v>88853626</v>
      </c>
      <c r="B693" s="53">
        <v>40</v>
      </c>
      <c r="C693" s="53" t="s">
        <v>83</v>
      </c>
      <c r="D693" s="53" t="s">
        <v>91</v>
      </c>
      <c r="E693" s="51" t="s">
        <v>84</v>
      </c>
      <c r="F693" s="53" t="s">
        <v>80</v>
      </c>
      <c r="G693" s="53">
        <v>3617</v>
      </c>
    </row>
    <row r="694" spans="1:7">
      <c r="A694" s="53">
        <v>86320419</v>
      </c>
      <c r="B694" s="53">
        <v>32</v>
      </c>
      <c r="C694" s="53" t="s">
        <v>83</v>
      </c>
      <c r="D694" s="53" t="s">
        <v>91</v>
      </c>
      <c r="E694" s="51" t="s">
        <v>81</v>
      </c>
      <c r="F694" s="53" t="s">
        <v>89</v>
      </c>
      <c r="G694" s="53">
        <v>6725</v>
      </c>
    </row>
    <row r="695" spans="1:7">
      <c r="A695" s="53">
        <v>80598153</v>
      </c>
      <c r="B695" s="53">
        <v>36</v>
      </c>
      <c r="C695" s="53" t="s">
        <v>85</v>
      </c>
      <c r="D695" s="53" t="s">
        <v>87</v>
      </c>
      <c r="E695" s="51" t="s">
        <v>81</v>
      </c>
      <c r="F695" s="53" t="s">
        <v>80</v>
      </c>
      <c r="G695" s="53">
        <v>10325</v>
      </c>
    </row>
    <row r="696" spans="1:7">
      <c r="A696" s="53">
        <v>86399934</v>
      </c>
      <c r="B696" s="53">
        <v>33</v>
      </c>
      <c r="C696" s="53" t="s">
        <v>83</v>
      </c>
      <c r="D696" s="53" t="s">
        <v>82</v>
      </c>
      <c r="E696" s="51" t="s">
        <v>81</v>
      </c>
      <c r="F696" s="53" t="s">
        <v>89</v>
      </c>
      <c r="G696" s="53">
        <v>6949</v>
      </c>
    </row>
    <row r="697" spans="1:7">
      <c r="A697" s="53">
        <v>81205240</v>
      </c>
      <c r="B697" s="53">
        <v>37</v>
      </c>
      <c r="C697" s="53" t="s">
        <v>85</v>
      </c>
      <c r="D697" s="53" t="s">
        <v>91</v>
      </c>
      <c r="E697" s="51" t="s">
        <v>81</v>
      </c>
      <c r="F697" s="53" t="s">
        <v>80</v>
      </c>
      <c r="G697" s="53">
        <v>10609</v>
      </c>
    </row>
    <row r="698" spans="1:7">
      <c r="A698" s="53">
        <v>87788792</v>
      </c>
      <c r="B698" s="53">
        <v>45</v>
      </c>
      <c r="C698" s="53" t="s">
        <v>83</v>
      </c>
      <c r="D698" s="53" t="s">
        <v>88</v>
      </c>
      <c r="E698" s="51" t="s">
        <v>84</v>
      </c>
      <c r="F698" s="53" t="s">
        <v>80</v>
      </c>
      <c r="G698" s="53">
        <v>4447</v>
      </c>
    </row>
    <row r="699" spans="1:7">
      <c r="A699" s="53">
        <v>82417458</v>
      </c>
      <c r="B699" s="53">
        <v>29</v>
      </c>
      <c r="C699" s="53" t="s">
        <v>85</v>
      </c>
      <c r="D699" s="53" t="s">
        <v>82</v>
      </c>
      <c r="E699" s="51" t="s">
        <v>86</v>
      </c>
      <c r="F699" s="53" t="s">
        <v>89</v>
      </c>
      <c r="G699" s="53">
        <v>2157</v>
      </c>
    </row>
    <row r="700" spans="1:7">
      <c r="A700" s="53">
        <v>83075449</v>
      </c>
      <c r="B700" s="53">
        <v>35</v>
      </c>
      <c r="C700" s="53" t="s">
        <v>85</v>
      </c>
      <c r="D700" s="53" t="s">
        <v>82</v>
      </c>
      <c r="E700" s="51" t="s">
        <v>81</v>
      </c>
      <c r="F700" s="53" t="s">
        <v>89</v>
      </c>
      <c r="G700" s="53">
        <v>4601</v>
      </c>
    </row>
    <row r="701" spans="1:7">
      <c r="A701" s="53">
        <v>86693666</v>
      </c>
      <c r="B701" s="53">
        <v>52</v>
      </c>
      <c r="C701" s="53" t="s">
        <v>83</v>
      </c>
      <c r="D701" s="53" t="s">
        <v>88</v>
      </c>
      <c r="E701" s="51" t="s">
        <v>90</v>
      </c>
      <c r="F701" s="53" t="s">
        <v>80</v>
      </c>
      <c r="G701" s="53">
        <v>17099</v>
      </c>
    </row>
    <row r="702" spans="1:7">
      <c r="A702" s="53">
        <v>81335588</v>
      </c>
      <c r="B702" s="53">
        <v>58</v>
      </c>
      <c r="C702" s="53" t="s">
        <v>83</v>
      </c>
      <c r="D702" s="53" t="s">
        <v>82</v>
      </c>
      <c r="E702" s="51" t="s">
        <v>90</v>
      </c>
      <c r="F702" s="53" t="s">
        <v>80</v>
      </c>
      <c r="G702" s="53">
        <v>2479</v>
      </c>
    </row>
    <row r="703" spans="1:7">
      <c r="A703" s="53">
        <v>81868711</v>
      </c>
      <c r="B703" s="53">
        <v>53</v>
      </c>
      <c r="C703" s="53" t="s">
        <v>85</v>
      </c>
      <c r="D703" s="53" t="s">
        <v>88</v>
      </c>
      <c r="E703" s="51" t="s">
        <v>90</v>
      </c>
      <c r="F703" s="53" t="s">
        <v>80</v>
      </c>
      <c r="G703" s="53">
        <v>14852</v>
      </c>
    </row>
    <row r="704" spans="1:7">
      <c r="A704" s="53">
        <v>89712527</v>
      </c>
      <c r="B704" s="53">
        <v>30</v>
      </c>
      <c r="C704" s="53" t="s">
        <v>85</v>
      </c>
      <c r="D704" s="53" t="s">
        <v>88</v>
      </c>
      <c r="E704" s="51" t="s">
        <v>81</v>
      </c>
      <c r="F704" s="53" t="s">
        <v>80</v>
      </c>
      <c r="G704" s="53">
        <v>7264</v>
      </c>
    </row>
    <row r="705" spans="1:7">
      <c r="A705" s="53">
        <v>85859807</v>
      </c>
      <c r="B705" s="53">
        <v>38</v>
      </c>
      <c r="C705" s="53" t="s">
        <v>85</v>
      </c>
      <c r="D705" s="53" t="s">
        <v>82</v>
      </c>
      <c r="E705" s="51" t="s">
        <v>81</v>
      </c>
      <c r="F705" s="53" t="s">
        <v>89</v>
      </c>
      <c r="G705" s="53">
        <v>5666</v>
      </c>
    </row>
    <row r="706" spans="1:7">
      <c r="A706" s="53">
        <v>84358918</v>
      </c>
      <c r="B706" s="53">
        <v>35</v>
      </c>
      <c r="C706" s="53" t="s">
        <v>85</v>
      </c>
      <c r="D706" s="53" t="s">
        <v>91</v>
      </c>
      <c r="E706" s="51" t="s">
        <v>81</v>
      </c>
      <c r="F706" s="53" t="s">
        <v>80</v>
      </c>
      <c r="G706" s="53">
        <v>7823</v>
      </c>
    </row>
    <row r="707" spans="1:7">
      <c r="A707" s="53">
        <v>89287728</v>
      </c>
      <c r="B707" s="53">
        <v>39</v>
      </c>
      <c r="C707" s="53" t="s">
        <v>85</v>
      </c>
      <c r="D707" s="53" t="s">
        <v>94</v>
      </c>
      <c r="E707" s="51" t="s">
        <v>81</v>
      </c>
      <c r="F707" s="53" t="s">
        <v>80</v>
      </c>
      <c r="G707" s="53">
        <v>7880</v>
      </c>
    </row>
    <row r="708" spans="1:7">
      <c r="A708" s="53">
        <v>83108709</v>
      </c>
      <c r="B708" s="53">
        <v>40</v>
      </c>
      <c r="C708" s="53" t="s">
        <v>85</v>
      </c>
      <c r="D708" s="53" t="s">
        <v>82</v>
      </c>
      <c r="E708" s="51" t="s">
        <v>84</v>
      </c>
      <c r="F708" s="53" t="s">
        <v>89</v>
      </c>
      <c r="G708" s="53">
        <v>13194</v>
      </c>
    </row>
    <row r="709" spans="1:7">
      <c r="A709" s="53">
        <v>86190080</v>
      </c>
      <c r="B709" s="53">
        <v>47</v>
      </c>
      <c r="C709" s="53" t="s">
        <v>83</v>
      </c>
      <c r="D709" s="53" t="s">
        <v>91</v>
      </c>
      <c r="E709" s="51" t="s">
        <v>84</v>
      </c>
      <c r="F709" s="53" t="s">
        <v>80</v>
      </c>
      <c r="G709" s="53">
        <v>5067</v>
      </c>
    </row>
    <row r="710" spans="1:7">
      <c r="A710" s="53">
        <v>88037525</v>
      </c>
      <c r="B710" s="53">
        <v>36</v>
      </c>
      <c r="C710" s="53" t="s">
        <v>85</v>
      </c>
      <c r="D710" s="53" t="s">
        <v>91</v>
      </c>
      <c r="E710" s="51" t="s">
        <v>81</v>
      </c>
      <c r="F710" s="53" t="s">
        <v>80</v>
      </c>
      <c r="G710" s="53">
        <v>5079</v>
      </c>
    </row>
    <row r="711" spans="1:7">
      <c r="A711" s="53">
        <v>83909215</v>
      </c>
      <c r="B711" s="53">
        <v>31</v>
      </c>
      <c r="C711" s="53" t="s">
        <v>83</v>
      </c>
      <c r="D711" s="53" t="s">
        <v>88</v>
      </c>
      <c r="E711" s="51" t="s">
        <v>81</v>
      </c>
      <c r="F711" s="53" t="s">
        <v>80</v>
      </c>
      <c r="G711" s="53">
        <v>2321</v>
      </c>
    </row>
    <row r="712" spans="1:7">
      <c r="A712" s="53">
        <v>84893663</v>
      </c>
      <c r="B712" s="53">
        <v>33</v>
      </c>
      <c r="C712" s="53" t="s">
        <v>85</v>
      </c>
      <c r="D712" s="53" t="s">
        <v>82</v>
      </c>
      <c r="E712" s="51" t="s">
        <v>81</v>
      </c>
      <c r="F712" s="53" t="s">
        <v>80</v>
      </c>
      <c r="G712" s="53">
        <v>17444</v>
      </c>
    </row>
    <row r="713" spans="1:7">
      <c r="A713" s="53">
        <v>83596941</v>
      </c>
      <c r="B713" s="53">
        <v>29</v>
      </c>
      <c r="C713" s="53" t="s">
        <v>83</v>
      </c>
      <c r="D713" s="53" t="s">
        <v>82</v>
      </c>
      <c r="E713" s="51" t="s">
        <v>86</v>
      </c>
      <c r="F713" s="53" t="s">
        <v>89</v>
      </c>
      <c r="G713" s="53">
        <v>2404</v>
      </c>
    </row>
    <row r="714" spans="1:7">
      <c r="A714" s="53">
        <v>83329110</v>
      </c>
      <c r="B714" s="53">
        <v>33</v>
      </c>
      <c r="C714" s="53" t="s">
        <v>83</v>
      </c>
      <c r="D714" s="53" t="s">
        <v>87</v>
      </c>
      <c r="E714" s="51" t="s">
        <v>81</v>
      </c>
      <c r="F714" s="53" t="s">
        <v>89</v>
      </c>
      <c r="G714" s="53">
        <v>3452</v>
      </c>
    </row>
    <row r="715" spans="1:7">
      <c r="A715" s="53">
        <v>82823406</v>
      </c>
      <c r="B715" s="53">
        <v>45</v>
      </c>
      <c r="C715" s="53" t="s">
        <v>83</v>
      </c>
      <c r="D715" s="53" t="s">
        <v>91</v>
      </c>
      <c r="E715" s="51" t="s">
        <v>84</v>
      </c>
      <c r="F715" s="53" t="s">
        <v>89</v>
      </c>
      <c r="G715" s="53">
        <v>2270</v>
      </c>
    </row>
    <row r="716" spans="1:7">
      <c r="A716" s="53">
        <v>89085110</v>
      </c>
      <c r="B716" s="53">
        <v>50</v>
      </c>
      <c r="C716" s="53" t="s">
        <v>83</v>
      </c>
      <c r="D716" s="53" t="s">
        <v>88</v>
      </c>
      <c r="E716" s="51" t="s">
        <v>90</v>
      </c>
      <c r="F716" s="53" t="s">
        <v>80</v>
      </c>
      <c r="G716" s="53">
        <v>17399</v>
      </c>
    </row>
    <row r="717" spans="1:7">
      <c r="A717" s="53">
        <v>83244573</v>
      </c>
      <c r="B717" s="53">
        <v>33</v>
      </c>
      <c r="C717" s="53" t="s">
        <v>83</v>
      </c>
      <c r="D717" s="53" t="s">
        <v>91</v>
      </c>
      <c r="E717" s="51" t="s">
        <v>81</v>
      </c>
      <c r="F717" s="53" t="s">
        <v>89</v>
      </c>
      <c r="G717" s="53">
        <v>5488</v>
      </c>
    </row>
    <row r="718" spans="1:7">
      <c r="A718" s="53">
        <v>88321142</v>
      </c>
      <c r="B718" s="53">
        <v>41</v>
      </c>
      <c r="C718" s="53" t="s">
        <v>83</v>
      </c>
      <c r="D718" s="53" t="s">
        <v>82</v>
      </c>
      <c r="E718" s="51" t="s">
        <v>84</v>
      </c>
      <c r="F718" s="53" t="s">
        <v>80</v>
      </c>
      <c r="G718" s="53">
        <v>19419</v>
      </c>
    </row>
    <row r="719" spans="1:7">
      <c r="A719" s="53">
        <v>84814225</v>
      </c>
      <c r="B719" s="53">
        <v>27</v>
      </c>
      <c r="C719" s="53" t="s">
        <v>83</v>
      </c>
      <c r="D719" s="53" t="s">
        <v>91</v>
      </c>
      <c r="E719" s="51" t="s">
        <v>86</v>
      </c>
      <c r="F719" s="53" t="s">
        <v>89</v>
      </c>
      <c r="G719" s="53">
        <v>2811</v>
      </c>
    </row>
    <row r="720" spans="1:7">
      <c r="A720" s="53">
        <v>82850334</v>
      </c>
      <c r="B720" s="53">
        <v>45</v>
      </c>
      <c r="C720" s="53" t="s">
        <v>83</v>
      </c>
      <c r="D720" s="53" t="s">
        <v>88</v>
      </c>
      <c r="E720" s="51" t="s">
        <v>84</v>
      </c>
      <c r="F720" s="53" t="s">
        <v>80</v>
      </c>
      <c r="G720" s="53">
        <v>3633</v>
      </c>
    </row>
    <row r="721" spans="1:7">
      <c r="A721" s="53">
        <v>83033442</v>
      </c>
      <c r="B721" s="53">
        <v>47</v>
      </c>
      <c r="C721" s="53" t="s">
        <v>85</v>
      </c>
      <c r="D721" s="53" t="s">
        <v>88</v>
      </c>
      <c r="E721" s="51" t="s">
        <v>84</v>
      </c>
      <c r="F721" s="53" t="s">
        <v>89</v>
      </c>
      <c r="G721" s="53">
        <v>4163</v>
      </c>
    </row>
    <row r="722" spans="1:7">
      <c r="A722" s="53">
        <v>85172541</v>
      </c>
      <c r="B722" s="53">
        <v>30</v>
      </c>
      <c r="C722" s="53" t="s">
        <v>83</v>
      </c>
      <c r="D722" s="53" t="s">
        <v>82</v>
      </c>
      <c r="E722" s="51" t="s">
        <v>81</v>
      </c>
      <c r="F722" s="53" t="s">
        <v>89</v>
      </c>
      <c r="G722" s="53">
        <v>2132</v>
      </c>
    </row>
    <row r="723" spans="1:7">
      <c r="A723" s="53">
        <v>82893710</v>
      </c>
      <c r="B723" s="53">
        <v>50</v>
      </c>
      <c r="C723" s="53" t="s">
        <v>83</v>
      </c>
      <c r="D723" s="53" t="s">
        <v>82</v>
      </c>
      <c r="E723" s="51" t="s">
        <v>90</v>
      </c>
      <c r="F723" s="53" t="s">
        <v>80</v>
      </c>
      <c r="G723" s="53">
        <v>13973</v>
      </c>
    </row>
    <row r="724" spans="1:7">
      <c r="A724" s="53">
        <v>82572073</v>
      </c>
      <c r="B724" s="53">
        <v>38</v>
      </c>
      <c r="C724" s="53" t="s">
        <v>83</v>
      </c>
      <c r="D724" s="53" t="s">
        <v>87</v>
      </c>
      <c r="E724" s="51" t="s">
        <v>81</v>
      </c>
      <c r="F724" s="53" t="s">
        <v>80</v>
      </c>
      <c r="G724" s="53">
        <v>2684</v>
      </c>
    </row>
    <row r="725" spans="1:7">
      <c r="A725" s="53">
        <v>88835805</v>
      </c>
      <c r="B725" s="53">
        <v>46</v>
      </c>
      <c r="C725" s="53" t="s">
        <v>83</v>
      </c>
      <c r="D725" s="53" t="s">
        <v>88</v>
      </c>
      <c r="E725" s="51" t="s">
        <v>84</v>
      </c>
      <c r="F725" s="53" t="s">
        <v>80</v>
      </c>
      <c r="G725" s="53">
        <v>10845</v>
      </c>
    </row>
    <row r="726" spans="1:7">
      <c r="A726" s="53">
        <v>81478956</v>
      </c>
      <c r="B726" s="53">
        <v>24</v>
      </c>
      <c r="C726" s="53" t="s">
        <v>83</v>
      </c>
      <c r="D726" s="53" t="s">
        <v>87</v>
      </c>
      <c r="E726" s="51" t="s">
        <v>86</v>
      </c>
      <c r="F726" s="53" t="s">
        <v>89</v>
      </c>
      <c r="G726" s="53">
        <v>4377</v>
      </c>
    </row>
    <row r="727" spans="1:7">
      <c r="A727" s="53">
        <v>80226503</v>
      </c>
      <c r="B727" s="53">
        <v>35</v>
      </c>
      <c r="C727" s="53" t="s">
        <v>83</v>
      </c>
      <c r="D727" s="53" t="s">
        <v>91</v>
      </c>
      <c r="E727" s="51" t="s">
        <v>81</v>
      </c>
      <c r="F727" s="53" t="s">
        <v>80</v>
      </c>
      <c r="G727" s="53">
        <v>3743</v>
      </c>
    </row>
    <row r="728" spans="1:7">
      <c r="A728" s="53">
        <v>82517532</v>
      </c>
      <c r="B728" s="53">
        <v>31</v>
      </c>
      <c r="C728" s="53" t="s">
        <v>83</v>
      </c>
      <c r="D728" s="53" t="s">
        <v>87</v>
      </c>
      <c r="E728" s="51" t="s">
        <v>81</v>
      </c>
      <c r="F728" s="53" t="s">
        <v>89</v>
      </c>
      <c r="G728" s="53">
        <v>4148</v>
      </c>
    </row>
    <row r="729" spans="1:7">
      <c r="A729" s="53">
        <v>86633208</v>
      </c>
      <c r="B729" s="53">
        <v>28</v>
      </c>
      <c r="C729" s="53" t="s">
        <v>83</v>
      </c>
      <c r="D729" s="53" t="s">
        <v>88</v>
      </c>
      <c r="E729" s="51" t="s">
        <v>95</v>
      </c>
      <c r="F729" s="53" t="s">
        <v>80</v>
      </c>
      <c r="G729" s="53">
        <v>1051</v>
      </c>
    </row>
    <row r="730" spans="1:7">
      <c r="A730" s="53">
        <v>84165678</v>
      </c>
      <c r="B730" s="53">
        <v>54</v>
      </c>
      <c r="C730" s="53" t="s">
        <v>83</v>
      </c>
      <c r="D730" s="53" t="s">
        <v>82</v>
      </c>
      <c r="E730" s="51" t="s">
        <v>90</v>
      </c>
      <c r="F730" s="53" t="s">
        <v>89</v>
      </c>
      <c r="G730" s="53">
        <v>10739</v>
      </c>
    </row>
    <row r="731" spans="1:7">
      <c r="A731" s="53">
        <v>81060582</v>
      </c>
      <c r="B731" s="53">
        <v>35</v>
      </c>
      <c r="C731" s="53" t="s">
        <v>83</v>
      </c>
      <c r="D731" s="53" t="s">
        <v>91</v>
      </c>
      <c r="E731" s="51" t="s">
        <v>81</v>
      </c>
      <c r="F731" s="53" t="s">
        <v>89</v>
      </c>
      <c r="G731" s="53">
        <v>10388</v>
      </c>
    </row>
    <row r="732" spans="1:7">
      <c r="A732" s="53">
        <v>81344733</v>
      </c>
      <c r="B732" s="53">
        <v>30</v>
      </c>
      <c r="C732" s="53" t="s">
        <v>83</v>
      </c>
      <c r="D732" s="53" t="s">
        <v>88</v>
      </c>
      <c r="E732" s="51" t="s">
        <v>81</v>
      </c>
      <c r="F732" s="53" t="s">
        <v>89</v>
      </c>
      <c r="G732" s="53">
        <v>11416</v>
      </c>
    </row>
    <row r="733" spans="1:7">
      <c r="A733" s="53">
        <v>87702477</v>
      </c>
      <c r="B733" s="53">
        <v>20</v>
      </c>
      <c r="C733" s="53" t="s">
        <v>83</v>
      </c>
      <c r="D733" s="53" t="s">
        <v>82</v>
      </c>
      <c r="E733" s="51" t="s">
        <v>86</v>
      </c>
      <c r="F733" s="53" t="s">
        <v>89</v>
      </c>
      <c r="G733" s="53">
        <v>2600</v>
      </c>
    </row>
    <row r="734" spans="1:7">
      <c r="A734" s="53">
        <v>80266629</v>
      </c>
      <c r="B734" s="53">
        <v>30</v>
      </c>
      <c r="C734" s="53" t="s">
        <v>83</v>
      </c>
      <c r="D734" s="53" t="s">
        <v>82</v>
      </c>
      <c r="E734" s="51" t="s">
        <v>81</v>
      </c>
      <c r="F734" s="53" t="s">
        <v>89</v>
      </c>
      <c r="G734" s="53">
        <v>2422</v>
      </c>
    </row>
    <row r="735" spans="1:7">
      <c r="A735" s="53">
        <v>85322394</v>
      </c>
      <c r="B735" s="53">
        <v>26</v>
      </c>
      <c r="C735" s="53" t="s">
        <v>83</v>
      </c>
      <c r="D735" s="53" t="s">
        <v>88</v>
      </c>
      <c r="E735" s="51" t="s">
        <v>86</v>
      </c>
      <c r="F735" s="53" t="s">
        <v>80</v>
      </c>
      <c r="G735" s="53">
        <v>5472</v>
      </c>
    </row>
    <row r="736" spans="1:7">
      <c r="A736" s="53">
        <v>80373775</v>
      </c>
      <c r="B736" s="53">
        <v>22</v>
      </c>
      <c r="C736" s="53" t="s">
        <v>83</v>
      </c>
      <c r="D736" s="53" t="s">
        <v>87</v>
      </c>
      <c r="E736" s="51" t="s">
        <v>86</v>
      </c>
      <c r="F736" s="53" t="s">
        <v>80</v>
      </c>
      <c r="G736" s="53">
        <v>2451</v>
      </c>
    </row>
    <row r="737" spans="1:7">
      <c r="A737" s="53">
        <v>81690414</v>
      </c>
      <c r="B737" s="53">
        <v>48</v>
      </c>
      <c r="C737" s="53" t="s">
        <v>83</v>
      </c>
      <c r="D737" s="53" t="s">
        <v>82</v>
      </c>
      <c r="E737" s="51" t="s">
        <v>84</v>
      </c>
      <c r="F737" s="53" t="s">
        <v>80</v>
      </c>
      <c r="G737" s="53">
        <v>4240</v>
      </c>
    </row>
    <row r="738" spans="1:7">
      <c r="A738" s="53">
        <v>84432039</v>
      </c>
      <c r="B738" s="53">
        <v>48</v>
      </c>
      <c r="C738" s="53" t="s">
        <v>83</v>
      </c>
      <c r="D738" s="53" t="s">
        <v>91</v>
      </c>
      <c r="E738" s="51" t="s">
        <v>84</v>
      </c>
      <c r="F738" s="53" t="s">
        <v>80</v>
      </c>
      <c r="G738" s="53">
        <v>10999</v>
      </c>
    </row>
    <row r="739" spans="1:7">
      <c r="A739" s="53">
        <v>85569809</v>
      </c>
      <c r="B739" s="53">
        <v>41</v>
      </c>
      <c r="C739" s="53" t="s">
        <v>83</v>
      </c>
      <c r="D739" s="53" t="s">
        <v>88</v>
      </c>
      <c r="E739" s="51" t="s">
        <v>84</v>
      </c>
      <c r="F739" s="53" t="s">
        <v>89</v>
      </c>
      <c r="G739" s="53">
        <v>5003</v>
      </c>
    </row>
    <row r="740" spans="1:7">
      <c r="A740" s="53">
        <v>82951865</v>
      </c>
      <c r="B740" s="53">
        <v>39</v>
      </c>
      <c r="C740" s="53" t="s">
        <v>83</v>
      </c>
      <c r="D740" s="53" t="s">
        <v>87</v>
      </c>
      <c r="E740" s="51" t="s">
        <v>81</v>
      </c>
      <c r="F740" s="53" t="s">
        <v>89</v>
      </c>
      <c r="G740" s="53">
        <v>12742</v>
      </c>
    </row>
    <row r="741" spans="1:7">
      <c r="A741" s="53">
        <v>85696959</v>
      </c>
      <c r="B741" s="53">
        <v>27</v>
      </c>
      <c r="C741" s="53" t="s">
        <v>83</v>
      </c>
      <c r="D741" s="53" t="s">
        <v>91</v>
      </c>
      <c r="E741" s="51" t="s">
        <v>86</v>
      </c>
      <c r="F741" s="53" t="s">
        <v>89</v>
      </c>
      <c r="G741" s="53">
        <v>4227</v>
      </c>
    </row>
    <row r="742" spans="1:7">
      <c r="A742" s="53">
        <v>81947650</v>
      </c>
      <c r="B742" s="53">
        <v>35</v>
      </c>
      <c r="C742" s="53" t="s">
        <v>83</v>
      </c>
      <c r="D742" s="53" t="s">
        <v>82</v>
      </c>
      <c r="E742" s="51" t="s">
        <v>81</v>
      </c>
      <c r="F742" s="53" t="s">
        <v>80</v>
      </c>
      <c r="G742" s="53">
        <v>3917</v>
      </c>
    </row>
    <row r="743" spans="1:7">
      <c r="A743" s="53">
        <v>82501596</v>
      </c>
      <c r="B743" s="53">
        <v>42</v>
      </c>
      <c r="C743" s="53" t="s">
        <v>85</v>
      </c>
      <c r="D743" s="53" t="s">
        <v>88</v>
      </c>
      <c r="E743" s="51" t="s">
        <v>84</v>
      </c>
      <c r="F743" s="53" t="s">
        <v>80</v>
      </c>
      <c r="G743" s="53">
        <v>18303</v>
      </c>
    </row>
    <row r="744" spans="1:7">
      <c r="A744" s="53">
        <v>82663938</v>
      </c>
      <c r="B744" s="53">
        <v>50</v>
      </c>
      <c r="C744" s="53" t="s">
        <v>83</v>
      </c>
      <c r="D744" s="53" t="s">
        <v>82</v>
      </c>
      <c r="E744" s="51" t="s">
        <v>90</v>
      </c>
      <c r="F744" s="53" t="s">
        <v>80</v>
      </c>
      <c r="G744" s="53">
        <v>2380</v>
      </c>
    </row>
    <row r="745" spans="1:7">
      <c r="A745" s="53">
        <v>85447491</v>
      </c>
      <c r="B745" s="53">
        <v>59</v>
      </c>
      <c r="C745" s="53" t="s">
        <v>83</v>
      </c>
      <c r="D745" s="53" t="s">
        <v>82</v>
      </c>
      <c r="E745" s="51" t="s">
        <v>90</v>
      </c>
      <c r="F745" s="53" t="s">
        <v>89</v>
      </c>
      <c r="G745" s="53">
        <v>13726</v>
      </c>
    </row>
    <row r="746" spans="1:7">
      <c r="A746" s="53">
        <v>80778304</v>
      </c>
      <c r="B746" s="53">
        <v>37</v>
      </c>
      <c r="C746" s="53" t="s">
        <v>83</v>
      </c>
      <c r="D746" s="53" t="s">
        <v>88</v>
      </c>
      <c r="E746" s="51" t="s">
        <v>81</v>
      </c>
      <c r="F746" s="53" t="s">
        <v>89</v>
      </c>
      <c r="G746" s="53">
        <v>4777</v>
      </c>
    </row>
    <row r="747" spans="1:7">
      <c r="A747" s="53">
        <v>81595450</v>
      </c>
      <c r="B747" s="53">
        <v>55</v>
      </c>
      <c r="C747" s="53" t="s">
        <v>83</v>
      </c>
      <c r="D747" s="53" t="s">
        <v>91</v>
      </c>
      <c r="E747" s="51" t="s">
        <v>90</v>
      </c>
      <c r="F747" s="53" t="s">
        <v>80</v>
      </c>
      <c r="G747" s="53">
        <v>6385</v>
      </c>
    </row>
    <row r="748" spans="1:7">
      <c r="A748" s="53">
        <v>80755091</v>
      </c>
      <c r="B748" s="53">
        <v>41</v>
      </c>
      <c r="C748" s="53" t="s">
        <v>83</v>
      </c>
      <c r="D748" s="53" t="s">
        <v>87</v>
      </c>
      <c r="E748" s="51" t="s">
        <v>84</v>
      </c>
      <c r="F748" s="53" t="s">
        <v>89</v>
      </c>
      <c r="G748" s="53">
        <v>19973</v>
      </c>
    </row>
    <row r="749" spans="1:7">
      <c r="A749" s="53">
        <v>88393567</v>
      </c>
      <c r="B749" s="53">
        <v>38</v>
      </c>
      <c r="C749" s="53" t="s">
        <v>85</v>
      </c>
      <c r="D749" s="53" t="s">
        <v>91</v>
      </c>
      <c r="E749" s="51" t="s">
        <v>81</v>
      </c>
      <c r="F749" s="53" t="s">
        <v>80</v>
      </c>
      <c r="G749" s="53">
        <v>6861</v>
      </c>
    </row>
    <row r="750" spans="1:7">
      <c r="A750" s="53">
        <v>87568098</v>
      </c>
      <c r="B750" s="53">
        <v>26</v>
      </c>
      <c r="C750" s="53" t="s">
        <v>85</v>
      </c>
      <c r="D750" s="53" t="s">
        <v>88</v>
      </c>
      <c r="E750" s="51" t="s">
        <v>86</v>
      </c>
      <c r="F750" s="53" t="s">
        <v>80</v>
      </c>
      <c r="G750" s="53">
        <v>4969</v>
      </c>
    </row>
    <row r="751" spans="1:7">
      <c r="A751" s="53">
        <v>86390530</v>
      </c>
      <c r="B751" s="53">
        <v>52</v>
      </c>
      <c r="C751" s="53" t="s">
        <v>85</v>
      </c>
      <c r="D751" s="53" t="s">
        <v>87</v>
      </c>
      <c r="E751" s="51" t="s">
        <v>90</v>
      </c>
      <c r="F751" s="53" t="s">
        <v>89</v>
      </c>
      <c r="G751" s="53">
        <v>19845</v>
      </c>
    </row>
    <row r="752" spans="1:7">
      <c r="A752" s="53">
        <v>81135796</v>
      </c>
      <c r="B752" s="53">
        <v>44</v>
      </c>
      <c r="C752" s="53" t="s">
        <v>85</v>
      </c>
      <c r="D752" s="53" t="s">
        <v>82</v>
      </c>
      <c r="E752" s="51" t="s">
        <v>84</v>
      </c>
      <c r="F752" s="53" t="s">
        <v>89</v>
      </c>
      <c r="G752" s="53">
        <v>13320</v>
      </c>
    </row>
    <row r="753" spans="1:7">
      <c r="A753" s="53">
        <v>89786500</v>
      </c>
      <c r="B753" s="53">
        <v>50</v>
      </c>
      <c r="C753" s="53" t="s">
        <v>85</v>
      </c>
      <c r="D753" s="53" t="s">
        <v>82</v>
      </c>
      <c r="E753" s="51" t="s">
        <v>90</v>
      </c>
      <c r="F753" s="53" t="s">
        <v>89</v>
      </c>
      <c r="G753" s="53">
        <v>6347</v>
      </c>
    </row>
    <row r="754" spans="1:7">
      <c r="A754" s="53">
        <v>87452093</v>
      </c>
      <c r="B754" s="53">
        <v>36</v>
      </c>
      <c r="C754" s="53" t="s">
        <v>83</v>
      </c>
      <c r="D754" s="53" t="s">
        <v>91</v>
      </c>
      <c r="E754" s="51" t="s">
        <v>81</v>
      </c>
      <c r="F754" s="53" t="s">
        <v>89</v>
      </c>
      <c r="G754" s="53">
        <v>2743</v>
      </c>
    </row>
    <row r="755" spans="1:7">
      <c r="A755" s="53">
        <v>89716171</v>
      </c>
      <c r="B755" s="53">
        <v>39</v>
      </c>
      <c r="C755" s="53" t="s">
        <v>83</v>
      </c>
      <c r="D755" s="53" t="s">
        <v>82</v>
      </c>
      <c r="E755" s="51" t="s">
        <v>81</v>
      </c>
      <c r="F755" s="53" t="s">
        <v>89</v>
      </c>
      <c r="G755" s="53">
        <v>10880</v>
      </c>
    </row>
    <row r="756" spans="1:7">
      <c r="A756" s="53">
        <v>83038406</v>
      </c>
      <c r="B756" s="53">
        <v>33</v>
      </c>
      <c r="C756" s="53" t="s">
        <v>85</v>
      </c>
      <c r="D756" s="53" t="s">
        <v>87</v>
      </c>
      <c r="E756" s="51" t="s">
        <v>81</v>
      </c>
      <c r="F756" s="53" t="s">
        <v>89</v>
      </c>
      <c r="G756" s="53">
        <v>2342</v>
      </c>
    </row>
    <row r="757" spans="1:7">
      <c r="A757" s="53">
        <v>83889193</v>
      </c>
      <c r="B757" s="53">
        <v>45</v>
      </c>
      <c r="C757" s="53" t="s">
        <v>85</v>
      </c>
      <c r="D757" s="53" t="s">
        <v>88</v>
      </c>
      <c r="E757" s="51" t="s">
        <v>84</v>
      </c>
      <c r="F757" s="53" t="s">
        <v>89</v>
      </c>
      <c r="G757" s="53">
        <v>17650</v>
      </c>
    </row>
    <row r="758" spans="1:7">
      <c r="A758" s="53">
        <v>82490898</v>
      </c>
      <c r="B758" s="53">
        <v>32</v>
      </c>
      <c r="C758" s="53" t="s">
        <v>83</v>
      </c>
      <c r="D758" s="53" t="s">
        <v>91</v>
      </c>
      <c r="E758" s="51" t="s">
        <v>81</v>
      </c>
      <c r="F758" s="53" t="s">
        <v>89</v>
      </c>
      <c r="G758" s="53">
        <v>4025</v>
      </c>
    </row>
    <row r="759" spans="1:7">
      <c r="A759" s="53">
        <v>83246197</v>
      </c>
      <c r="B759" s="53">
        <v>34</v>
      </c>
      <c r="C759" s="53" t="s">
        <v>85</v>
      </c>
      <c r="D759" s="53" t="s">
        <v>91</v>
      </c>
      <c r="E759" s="51" t="s">
        <v>81</v>
      </c>
      <c r="F759" s="53" t="s">
        <v>80</v>
      </c>
      <c r="G759" s="53">
        <v>9725</v>
      </c>
    </row>
    <row r="760" spans="1:7">
      <c r="A760" s="53">
        <v>85762907</v>
      </c>
      <c r="B760" s="53">
        <v>59</v>
      </c>
      <c r="C760" s="53" t="s">
        <v>85</v>
      </c>
      <c r="D760" s="53" t="s">
        <v>88</v>
      </c>
      <c r="E760" s="51" t="s">
        <v>90</v>
      </c>
      <c r="F760" s="53" t="s">
        <v>80</v>
      </c>
      <c r="G760" s="53">
        <v>11904</v>
      </c>
    </row>
    <row r="761" spans="1:7">
      <c r="A761" s="53">
        <v>83739924</v>
      </c>
      <c r="B761" s="53">
        <v>45</v>
      </c>
      <c r="C761" s="53" t="s">
        <v>93</v>
      </c>
      <c r="D761" s="53" t="s">
        <v>91</v>
      </c>
      <c r="E761" s="51" t="s">
        <v>84</v>
      </c>
      <c r="F761" s="53" t="s">
        <v>80</v>
      </c>
      <c r="G761" s="53">
        <v>2177</v>
      </c>
    </row>
    <row r="762" spans="1:7">
      <c r="A762" s="53">
        <v>83210694</v>
      </c>
      <c r="B762" s="53">
        <v>53</v>
      </c>
      <c r="C762" s="53" t="s">
        <v>85</v>
      </c>
      <c r="D762" s="53" t="s">
        <v>82</v>
      </c>
      <c r="E762" s="51" t="s">
        <v>90</v>
      </c>
      <c r="F762" s="53" t="s">
        <v>89</v>
      </c>
      <c r="G762" s="53">
        <v>7525</v>
      </c>
    </row>
    <row r="763" spans="1:7">
      <c r="A763" s="53">
        <v>83412618</v>
      </c>
      <c r="B763" s="53">
        <v>36</v>
      </c>
      <c r="C763" s="53" t="s">
        <v>83</v>
      </c>
      <c r="D763" s="53" t="s">
        <v>82</v>
      </c>
      <c r="E763" s="51" t="s">
        <v>81</v>
      </c>
      <c r="F763" s="53" t="s">
        <v>80</v>
      </c>
      <c r="G763" s="53">
        <v>4834</v>
      </c>
    </row>
    <row r="764" spans="1:7">
      <c r="A764" s="53">
        <v>89893636</v>
      </c>
      <c r="B764" s="53">
        <v>26</v>
      </c>
      <c r="C764" s="53" t="s">
        <v>83</v>
      </c>
      <c r="D764" s="53" t="s">
        <v>82</v>
      </c>
      <c r="E764" s="51" t="s">
        <v>86</v>
      </c>
      <c r="F764" s="53" t="s">
        <v>80</v>
      </c>
      <c r="G764" s="53">
        <v>2042</v>
      </c>
    </row>
    <row r="765" spans="1:7">
      <c r="A765" s="53">
        <v>86397473</v>
      </c>
      <c r="B765" s="53">
        <v>34</v>
      </c>
      <c r="C765" s="53" t="s">
        <v>85</v>
      </c>
      <c r="D765" s="53" t="s">
        <v>91</v>
      </c>
      <c r="E765" s="51" t="s">
        <v>81</v>
      </c>
      <c r="F765" s="53" t="s">
        <v>89</v>
      </c>
      <c r="G765" s="53">
        <v>2220</v>
      </c>
    </row>
    <row r="766" spans="1:7">
      <c r="A766" s="53">
        <v>88897296</v>
      </c>
      <c r="B766" s="53">
        <v>28</v>
      </c>
      <c r="C766" s="53" t="s">
        <v>85</v>
      </c>
      <c r="D766" s="53" t="s">
        <v>87</v>
      </c>
      <c r="E766" s="51" t="s">
        <v>86</v>
      </c>
      <c r="F766" s="53" t="s">
        <v>80</v>
      </c>
      <c r="G766" s="53">
        <v>1052</v>
      </c>
    </row>
    <row r="767" spans="1:7">
      <c r="A767" s="53">
        <v>81177630</v>
      </c>
      <c r="B767" s="53">
        <v>38</v>
      </c>
      <c r="C767" s="53" t="s">
        <v>83</v>
      </c>
      <c r="D767" s="53" t="s">
        <v>91</v>
      </c>
      <c r="E767" s="51" t="s">
        <v>81</v>
      </c>
      <c r="F767" s="53" t="s">
        <v>80</v>
      </c>
      <c r="G767" s="53">
        <v>2821</v>
      </c>
    </row>
    <row r="768" spans="1:7">
      <c r="A768" s="53">
        <v>89095046</v>
      </c>
      <c r="B768" s="53">
        <v>50</v>
      </c>
      <c r="C768" s="53" t="s">
        <v>83</v>
      </c>
      <c r="D768" s="53" t="s">
        <v>91</v>
      </c>
      <c r="E768" s="51" t="s">
        <v>90</v>
      </c>
      <c r="F768" s="53" t="s">
        <v>80</v>
      </c>
      <c r="G768" s="53">
        <v>19237</v>
      </c>
    </row>
    <row r="769" spans="1:7">
      <c r="A769" s="53">
        <v>86562723</v>
      </c>
      <c r="B769" s="53">
        <v>37</v>
      </c>
      <c r="C769" s="53" t="s">
        <v>83</v>
      </c>
      <c r="D769" s="53" t="s">
        <v>82</v>
      </c>
      <c r="E769" s="51" t="s">
        <v>81</v>
      </c>
      <c r="F769" s="53" t="s">
        <v>89</v>
      </c>
      <c r="G769" s="53">
        <v>4107</v>
      </c>
    </row>
    <row r="770" spans="1:7">
      <c r="A770" s="53">
        <v>85370127</v>
      </c>
      <c r="B770" s="53">
        <v>40</v>
      </c>
      <c r="C770" s="53" t="s">
        <v>85</v>
      </c>
      <c r="D770" s="53" t="s">
        <v>82</v>
      </c>
      <c r="E770" s="51" t="s">
        <v>84</v>
      </c>
      <c r="F770" s="53" t="s">
        <v>80</v>
      </c>
      <c r="G770" s="53">
        <v>8396</v>
      </c>
    </row>
    <row r="771" spans="1:7">
      <c r="A771" s="53">
        <v>84506013</v>
      </c>
      <c r="B771" s="53">
        <v>26</v>
      </c>
      <c r="C771" s="53" t="s">
        <v>83</v>
      </c>
      <c r="D771" s="53" t="s">
        <v>87</v>
      </c>
      <c r="E771" s="51" t="s">
        <v>86</v>
      </c>
      <c r="F771" s="53" t="s">
        <v>89</v>
      </c>
      <c r="G771" s="53">
        <v>2007</v>
      </c>
    </row>
    <row r="772" spans="1:7">
      <c r="A772" s="53">
        <v>89532293</v>
      </c>
      <c r="B772" s="53">
        <v>46</v>
      </c>
      <c r="C772" s="53" t="s">
        <v>83</v>
      </c>
      <c r="D772" s="53" t="s">
        <v>91</v>
      </c>
      <c r="E772" s="51" t="s">
        <v>84</v>
      </c>
      <c r="F772" s="53" t="s">
        <v>80</v>
      </c>
      <c r="G772" s="53">
        <v>19627</v>
      </c>
    </row>
    <row r="773" spans="1:7">
      <c r="A773" s="53">
        <v>81024156</v>
      </c>
      <c r="B773" s="53">
        <v>54</v>
      </c>
      <c r="C773" s="53" t="s">
        <v>85</v>
      </c>
      <c r="D773" s="53" t="s">
        <v>91</v>
      </c>
      <c r="E773" s="51" t="s">
        <v>90</v>
      </c>
      <c r="F773" s="53" t="s">
        <v>89</v>
      </c>
      <c r="G773" s="53">
        <v>10686</v>
      </c>
    </row>
    <row r="774" spans="1:7">
      <c r="A774" s="53">
        <v>84246674</v>
      </c>
      <c r="B774" s="53">
        <v>56</v>
      </c>
      <c r="C774" s="53" t="s">
        <v>83</v>
      </c>
      <c r="D774" s="53" t="s">
        <v>82</v>
      </c>
      <c r="E774" s="51" t="s">
        <v>90</v>
      </c>
      <c r="F774" s="53" t="s">
        <v>89</v>
      </c>
      <c r="G774" s="53">
        <v>2942</v>
      </c>
    </row>
    <row r="775" spans="1:7">
      <c r="A775" s="53">
        <v>87223822</v>
      </c>
      <c r="B775" s="53">
        <v>36</v>
      </c>
      <c r="C775" s="53" t="s">
        <v>83</v>
      </c>
      <c r="D775" s="53" t="s">
        <v>94</v>
      </c>
      <c r="E775" s="51" t="s">
        <v>81</v>
      </c>
      <c r="F775" s="53" t="s">
        <v>89</v>
      </c>
      <c r="G775" s="53">
        <v>8858</v>
      </c>
    </row>
    <row r="776" spans="1:7">
      <c r="A776" s="53">
        <v>85268015</v>
      </c>
      <c r="B776" s="53">
        <v>55</v>
      </c>
      <c r="C776" s="53" t="s">
        <v>83</v>
      </c>
      <c r="D776" s="53" t="s">
        <v>87</v>
      </c>
      <c r="E776" s="51" t="s">
        <v>90</v>
      </c>
      <c r="F776" s="53" t="s">
        <v>80</v>
      </c>
      <c r="G776" s="53">
        <v>16756</v>
      </c>
    </row>
    <row r="777" spans="1:7">
      <c r="A777" s="53">
        <v>87478687</v>
      </c>
      <c r="B777" s="53">
        <v>43</v>
      </c>
      <c r="C777" s="53" t="s">
        <v>85</v>
      </c>
      <c r="D777" s="53" t="s">
        <v>82</v>
      </c>
      <c r="E777" s="51" t="s">
        <v>84</v>
      </c>
      <c r="F777" s="53" t="s">
        <v>80</v>
      </c>
      <c r="G777" s="53">
        <v>10798</v>
      </c>
    </row>
    <row r="778" spans="1:7">
      <c r="A778" s="53">
        <v>89601336</v>
      </c>
      <c r="B778" s="53">
        <v>20</v>
      </c>
      <c r="C778" s="53" t="s">
        <v>85</v>
      </c>
      <c r="D778" s="53" t="s">
        <v>82</v>
      </c>
      <c r="E778" s="51" t="s">
        <v>86</v>
      </c>
      <c r="F778" s="53" t="s">
        <v>89</v>
      </c>
      <c r="G778" s="53">
        <v>2323</v>
      </c>
    </row>
    <row r="779" spans="1:7">
      <c r="A779" s="53">
        <v>85773539</v>
      </c>
      <c r="B779" s="53">
        <v>21</v>
      </c>
      <c r="C779" s="53" t="s">
        <v>83</v>
      </c>
      <c r="D779" s="53" t="s">
        <v>82</v>
      </c>
      <c r="E779" s="51" t="s">
        <v>86</v>
      </c>
      <c r="F779" s="53" t="s">
        <v>89</v>
      </c>
      <c r="G779" s="53">
        <v>1416</v>
      </c>
    </row>
    <row r="780" spans="1:7">
      <c r="A780" s="53">
        <v>85829083</v>
      </c>
      <c r="B780" s="53">
        <v>46</v>
      </c>
      <c r="C780" s="53" t="s">
        <v>83</v>
      </c>
      <c r="D780" s="53" t="s">
        <v>91</v>
      </c>
      <c r="E780" s="51" t="s">
        <v>84</v>
      </c>
      <c r="F780" s="53" t="s">
        <v>89</v>
      </c>
      <c r="G780" s="53">
        <v>4615</v>
      </c>
    </row>
    <row r="781" spans="1:7">
      <c r="A781" s="53">
        <v>84774606</v>
      </c>
      <c r="B781" s="53">
        <v>51</v>
      </c>
      <c r="C781" s="53" t="s">
        <v>83</v>
      </c>
      <c r="D781" s="53" t="s">
        <v>91</v>
      </c>
      <c r="E781" s="51" t="s">
        <v>90</v>
      </c>
      <c r="F781" s="53" t="s">
        <v>80</v>
      </c>
      <c r="G781" s="53">
        <v>2461</v>
      </c>
    </row>
    <row r="782" spans="1:7">
      <c r="A782" s="53">
        <v>83159575</v>
      </c>
      <c r="B782" s="53">
        <v>28</v>
      </c>
      <c r="C782" s="53" t="s">
        <v>83</v>
      </c>
      <c r="D782" s="53" t="s">
        <v>88</v>
      </c>
      <c r="E782" s="51" t="s">
        <v>86</v>
      </c>
      <c r="F782" s="53" t="s">
        <v>80</v>
      </c>
      <c r="G782" s="53">
        <v>8722</v>
      </c>
    </row>
    <row r="783" spans="1:7">
      <c r="A783" s="53">
        <v>89239042</v>
      </c>
      <c r="B783" s="53">
        <v>26</v>
      </c>
      <c r="C783" s="53" t="s">
        <v>83</v>
      </c>
      <c r="D783" s="53" t="s">
        <v>88</v>
      </c>
      <c r="E783" s="51" t="s">
        <v>86</v>
      </c>
      <c r="F783" s="53" t="s">
        <v>80</v>
      </c>
      <c r="G783" s="53">
        <v>3955</v>
      </c>
    </row>
    <row r="784" spans="1:7">
      <c r="A784" s="53">
        <v>83679348</v>
      </c>
      <c r="B784" s="53">
        <v>30</v>
      </c>
      <c r="C784" s="53" t="s">
        <v>83</v>
      </c>
      <c r="D784" s="53" t="s">
        <v>82</v>
      </c>
      <c r="E784" s="51" t="s">
        <v>81</v>
      </c>
      <c r="F784" s="53" t="s">
        <v>80</v>
      </c>
      <c r="G784" s="53">
        <v>9957</v>
      </c>
    </row>
    <row r="785" spans="1:7">
      <c r="A785" s="53">
        <v>80631918</v>
      </c>
      <c r="B785" s="53">
        <v>41</v>
      </c>
      <c r="C785" s="53" t="s">
        <v>83</v>
      </c>
      <c r="D785" s="53" t="s">
        <v>88</v>
      </c>
      <c r="E785" s="51" t="s">
        <v>84</v>
      </c>
      <c r="F785" s="53" t="s">
        <v>89</v>
      </c>
      <c r="G785" s="53">
        <v>3376</v>
      </c>
    </row>
    <row r="786" spans="1:7">
      <c r="A786" s="53">
        <v>86482268</v>
      </c>
      <c r="B786" s="53">
        <v>38</v>
      </c>
      <c r="C786" s="53" t="s">
        <v>83</v>
      </c>
      <c r="D786" s="53" t="s">
        <v>87</v>
      </c>
      <c r="E786" s="51" t="s">
        <v>81</v>
      </c>
      <c r="F786" s="53" t="s">
        <v>89</v>
      </c>
      <c r="G786" s="53">
        <v>8823</v>
      </c>
    </row>
    <row r="787" spans="1:7">
      <c r="A787" s="53">
        <v>80584286</v>
      </c>
      <c r="B787" s="53">
        <v>40</v>
      </c>
      <c r="C787" s="53" t="s">
        <v>83</v>
      </c>
      <c r="D787" s="53" t="s">
        <v>91</v>
      </c>
      <c r="E787" s="51" t="s">
        <v>84</v>
      </c>
      <c r="F787" s="53" t="s">
        <v>80</v>
      </c>
      <c r="G787" s="53">
        <v>10322</v>
      </c>
    </row>
    <row r="788" spans="1:7">
      <c r="A788" s="53">
        <v>83559781</v>
      </c>
      <c r="B788" s="53">
        <v>27</v>
      </c>
      <c r="C788" s="53" t="s">
        <v>83</v>
      </c>
      <c r="D788" s="53" t="s">
        <v>94</v>
      </c>
      <c r="E788" s="51" t="s">
        <v>86</v>
      </c>
      <c r="F788" s="53" t="s">
        <v>80</v>
      </c>
      <c r="G788" s="53">
        <v>4621</v>
      </c>
    </row>
    <row r="789" spans="1:7">
      <c r="A789" s="53">
        <v>87726208</v>
      </c>
      <c r="B789" s="53">
        <v>55</v>
      </c>
      <c r="C789" s="53" t="s">
        <v>83</v>
      </c>
      <c r="D789" s="53" t="s">
        <v>87</v>
      </c>
      <c r="E789" s="51" t="s">
        <v>90</v>
      </c>
      <c r="F789" s="53" t="s">
        <v>80</v>
      </c>
      <c r="G789" s="53">
        <v>10976</v>
      </c>
    </row>
    <row r="790" spans="1:7">
      <c r="A790" s="53">
        <v>84617117</v>
      </c>
      <c r="B790" s="53">
        <v>28</v>
      </c>
      <c r="C790" s="53" t="s">
        <v>83</v>
      </c>
      <c r="D790" s="53" t="s">
        <v>82</v>
      </c>
      <c r="E790" s="51" t="s">
        <v>86</v>
      </c>
      <c r="F790" s="53" t="s">
        <v>89</v>
      </c>
      <c r="G790" s="53">
        <v>3660</v>
      </c>
    </row>
    <row r="791" spans="1:7">
      <c r="A791" s="53">
        <v>85997314</v>
      </c>
      <c r="B791" s="53">
        <v>44</v>
      </c>
      <c r="C791" s="53" t="s">
        <v>93</v>
      </c>
      <c r="D791" s="53" t="s">
        <v>88</v>
      </c>
      <c r="E791" s="51" t="s">
        <v>84</v>
      </c>
      <c r="F791" s="53" t="s">
        <v>80</v>
      </c>
      <c r="G791" s="53">
        <v>10482</v>
      </c>
    </row>
    <row r="792" spans="1:7">
      <c r="A792" s="53">
        <v>83206335</v>
      </c>
      <c r="B792" s="53">
        <v>33</v>
      </c>
      <c r="C792" s="53" t="s">
        <v>83</v>
      </c>
      <c r="D792" s="53" t="s">
        <v>82</v>
      </c>
      <c r="E792" s="51" t="s">
        <v>81</v>
      </c>
      <c r="F792" s="53" t="s">
        <v>80</v>
      </c>
      <c r="G792" s="53">
        <v>7119</v>
      </c>
    </row>
    <row r="793" spans="1:7">
      <c r="A793" s="53">
        <v>83273006</v>
      </c>
      <c r="B793" s="53">
        <v>35</v>
      </c>
      <c r="C793" s="53" t="s">
        <v>85</v>
      </c>
      <c r="D793" s="53" t="s">
        <v>82</v>
      </c>
      <c r="E793" s="51" t="s">
        <v>81</v>
      </c>
      <c r="F793" s="53" t="s">
        <v>80</v>
      </c>
      <c r="G793" s="53">
        <v>9582</v>
      </c>
    </row>
    <row r="794" spans="1:7">
      <c r="A794" s="53">
        <v>85745427</v>
      </c>
      <c r="B794" s="53">
        <v>33</v>
      </c>
      <c r="C794" s="53" t="s">
        <v>83</v>
      </c>
      <c r="D794" s="53" t="s">
        <v>91</v>
      </c>
      <c r="E794" s="51" t="s">
        <v>81</v>
      </c>
      <c r="F794" s="53" t="s">
        <v>89</v>
      </c>
      <c r="G794" s="53">
        <v>4508</v>
      </c>
    </row>
    <row r="795" spans="1:7">
      <c r="A795" s="53">
        <v>85281260</v>
      </c>
      <c r="B795" s="53">
        <v>28</v>
      </c>
      <c r="C795" s="53" t="s">
        <v>83</v>
      </c>
      <c r="D795" s="53" t="s">
        <v>88</v>
      </c>
      <c r="E795" s="51" t="s">
        <v>86</v>
      </c>
      <c r="F795" s="53" t="s">
        <v>80</v>
      </c>
      <c r="G795" s="53">
        <v>2207</v>
      </c>
    </row>
    <row r="796" spans="1:7">
      <c r="A796" s="53">
        <v>82641945</v>
      </c>
      <c r="B796" s="53">
        <v>34</v>
      </c>
      <c r="C796" s="53" t="s">
        <v>83</v>
      </c>
      <c r="D796" s="53" t="s">
        <v>87</v>
      </c>
      <c r="E796" s="51" t="s">
        <v>81</v>
      </c>
      <c r="F796" s="53" t="s">
        <v>80</v>
      </c>
      <c r="G796" s="53">
        <v>7756</v>
      </c>
    </row>
    <row r="797" spans="1:7">
      <c r="A797" s="53">
        <v>86238983</v>
      </c>
      <c r="B797" s="53">
        <v>37</v>
      </c>
      <c r="C797" s="53" t="s">
        <v>85</v>
      </c>
      <c r="D797" s="53" t="s">
        <v>91</v>
      </c>
      <c r="E797" s="51" t="s">
        <v>81</v>
      </c>
      <c r="F797" s="53" t="s">
        <v>89</v>
      </c>
      <c r="G797" s="53">
        <v>6694</v>
      </c>
    </row>
    <row r="798" spans="1:7">
      <c r="A798" s="53">
        <v>86883629</v>
      </c>
      <c r="B798" s="53">
        <v>25</v>
      </c>
      <c r="C798" s="53" t="s">
        <v>83</v>
      </c>
      <c r="D798" s="53" t="s">
        <v>87</v>
      </c>
      <c r="E798" s="51" t="s">
        <v>86</v>
      </c>
      <c r="F798" s="53" t="s">
        <v>80</v>
      </c>
      <c r="G798" s="53">
        <v>3691</v>
      </c>
    </row>
    <row r="799" spans="1:7">
      <c r="A799" s="53">
        <v>89407725</v>
      </c>
      <c r="B799" s="53">
        <v>26</v>
      </c>
      <c r="C799" s="53" t="s">
        <v>83</v>
      </c>
      <c r="D799" s="53" t="s">
        <v>82</v>
      </c>
      <c r="E799" s="51" t="s">
        <v>86</v>
      </c>
      <c r="F799" s="53" t="s">
        <v>80</v>
      </c>
      <c r="G799" s="53">
        <v>2377</v>
      </c>
    </row>
    <row r="800" spans="1:7">
      <c r="A800" s="53">
        <v>82996172</v>
      </c>
      <c r="B800" s="53">
        <v>33</v>
      </c>
      <c r="C800" s="53" t="s">
        <v>83</v>
      </c>
      <c r="D800" s="53" t="s">
        <v>82</v>
      </c>
      <c r="E800" s="51" t="s">
        <v>81</v>
      </c>
      <c r="F800" s="53" t="s">
        <v>80</v>
      </c>
      <c r="G800" s="53">
        <v>2313</v>
      </c>
    </row>
    <row r="801" spans="1:7">
      <c r="A801" s="53">
        <v>83564226</v>
      </c>
      <c r="B801" s="53">
        <v>42</v>
      </c>
      <c r="C801" s="53" t="s">
        <v>83</v>
      </c>
      <c r="D801" s="53" t="s">
        <v>88</v>
      </c>
      <c r="E801" s="51" t="s">
        <v>84</v>
      </c>
      <c r="F801" s="53" t="s">
        <v>80</v>
      </c>
      <c r="G801" s="53">
        <v>17665</v>
      </c>
    </row>
    <row r="802" spans="1:7">
      <c r="A802" s="53">
        <v>88522967</v>
      </c>
      <c r="B802" s="53">
        <v>28</v>
      </c>
      <c r="C802" s="53" t="s">
        <v>83</v>
      </c>
      <c r="D802" s="53" t="s">
        <v>82</v>
      </c>
      <c r="E802" s="51" t="s">
        <v>86</v>
      </c>
      <c r="F802" s="53" t="s">
        <v>80</v>
      </c>
      <c r="G802" s="53">
        <v>2596</v>
      </c>
    </row>
    <row r="803" spans="1:7">
      <c r="A803" s="53">
        <v>87333783</v>
      </c>
      <c r="B803" s="53">
        <v>50</v>
      </c>
      <c r="C803" s="53" t="s">
        <v>85</v>
      </c>
      <c r="D803" s="53" t="s">
        <v>91</v>
      </c>
      <c r="E803" s="51" t="s">
        <v>90</v>
      </c>
      <c r="F803" s="53" t="s">
        <v>80</v>
      </c>
      <c r="G803" s="53">
        <v>4728</v>
      </c>
    </row>
    <row r="804" spans="1:7">
      <c r="A804" s="53">
        <v>83158886</v>
      </c>
      <c r="B804" s="53">
        <v>33</v>
      </c>
      <c r="C804" s="53" t="s">
        <v>85</v>
      </c>
      <c r="D804" s="53" t="s">
        <v>82</v>
      </c>
      <c r="E804" s="51" t="s">
        <v>81</v>
      </c>
      <c r="F804" s="53" t="s">
        <v>89</v>
      </c>
      <c r="G804" s="53">
        <v>4302</v>
      </c>
    </row>
    <row r="805" spans="1:7">
      <c r="A805" s="53">
        <v>88194420</v>
      </c>
      <c r="B805" s="53">
        <v>34</v>
      </c>
      <c r="C805" s="53" t="s">
        <v>83</v>
      </c>
      <c r="D805" s="53" t="s">
        <v>91</v>
      </c>
      <c r="E805" s="51" t="s">
        <v>81</v>
      </c>
      <c r="F805" s="53" t="s">
        <v>80</v>
      </c>
      <c r="G805" s="53">
        <v>2979</v>
      </c>
    </row>
    <row r="806" spans="1:7">
      <c r="A806" s="53">
        <v>86323592</v>
      </c>
      <c r="B806" s="53">
        <v>48</v>
      </c>
      <c r="C806" s="53" t="s">
        <v>83</v>
      </c>
      <c r="D806" s="53" t="s">
        <v>91</v>
      </c>
      <c r="E806" s="51" t="s">
        <v>84</v>
      </c>
      <c r="F806" s="53" t="s">
        <v>80</v>
      </c>
      <c r="G806" s="53">
        <v>16885</v>
      </c>
    </row>
    <row r="807" spans="1:7">
      <c r="A807" s="53">
        <v>88664696</v>
      </c>
      <c r="B807" s="53">
        <v>45</v>
      </c>
      <c r="C807" s="53" t="s">
        <v>85</v>
      </c>
      <c r="D807" s="53" t="s">
        <v>91</v>
      </c>
      <c r="E807" s="51" t="s">
        <v>84</v>
      </c>
      <c r="F807" s="53" t="s">
        <v>89</v>
      </c>
      <c r="G807" s="53">
        <v>5593</v>
      </c>
    </row>
    <row r="808" spans="1:7">
      <c r="A808" s="53">
        <v>88475972</v>
      </c>
      <c r="B808" s="53">
        <v>52</v>
      </c>
      <c r="C808" s="53" t="s">
        <v>83</v>
      </c>
      <c r="D808" s="53" t="s">
        <v>91</v>
      </c>
      <c r="E808" s="51" t="s">
        <v>90</v>
      </c>
      <c r="F808" s="53" t="s">
        <v>80</v>
      </c>
      <c r="G808" s="53">
        <v>10445</v>
      </c>
    </row>
    <row r="809" spans="1:7">
      <c r="A809" s="53">
        <v>80734843</v>
      </c>
      <c r="B809" s="53">
        <v>38</v>
      </c>
      <c r="C809" s="53" t="s">
        <v>85</v>
      </c>
      <c r="D809" s="53" t="s">
        <v>91</v>
      </c>
      <c r="E809" s="51" t="s">
        <v>81</v>
      </c>
      <c r="F809" s="53" t="s">
        <v>80</v>
      </c>
      <c r="G809" s="53">
        <v>8740</v>
      </c>
    </row>
    <row r="810" spans="1:7">
      <c r="A810" s="53">
        <v>89102938</v>
      </c>
      <c r="B810" s="53">
        <v>29</v>
      </c>
      <c r="C810" s="53" t="s">
        <v>83</v>
      </c>
      <c r="D810" s="53" t="s">
        <v>91</v>
      </c>
      <c r="E810" s="51" t="s">
        <v>86</v>
      </c>
      <c r="F810" s="53" t="s">
        <v>89</v>
      </c>
      <c r="G810" s="53">
        <v>2514</v>
      </c>
    </row>
    <row r="811" spans="1:7">
      <c r="A811" s="53">
        <v>85665415</v>
      </c>
      <c r="B811" s="53">
        <v>28</v>
      </c>
      <c r="C811" s="53" t="s">
        <v>83</v>
      </c>
      <c r="D811" s="53" t="s">
        <v>82</v>
      </c>
      <c r="E811" s="51" t="s">
        <v>86</v>
      </c>
      <c r="F811" s="53" t="s">
        <v>89</v>
      </c>
      <c r="G811" s="53">
        <v>7655</v>
      </c>
    </row>
    <row r="812" spans="1:7">
      <c r="A812" s="53">
        <v>84292166</v>
      </c>
      <c r="B812" s="53">
        <v>46</v>
      </c>
      <c r="C812" s="53" t="s">
        <v>85</v>
      </c>
      <c r="D812" s="53" t="s">
        <v>87</v>
      </c>
      <c r="E812" s="51" t="s">
        <v>84</v>
      </c>
      <c r="F812" s="53" t="s">
        <v>80</v>
      </c>
      <c r="G812" s="53">
        <v>17465</v>
      </c>
    </row>
    <row r="813" spans="1:7">
      <c r="A813" s="53">
        <v>80070265</v>
      </c>
      <c r="B813" s="53">
        <v>38</v>
      </c>
      <c r="C813" s="53" t="s">
        <v>85</v>
      </c>
      <c r="D813" s="53" t="s">
        <v>88</v>
      </c>
      <c r="E813" s="51" t="s">
        <v>81</v>
      </c>
      <c r="F813" s="53" t="s">
        <v>80</v>
      </c>
      <c r="G813" s="53">
        <v>7351</v>
      </c>
    </row>
    <row r="814" spans="1:7">
      <c r="A814" s="53">
        <v>80257052</v>
      </c>
      <c r="B814" s="53">
        <v>43</v>
      </c>
      <c r="C814" s="53" t="s">
        <v>83</v>
      </c>
      <c r="D814" s="53" t="s">
        <v>82</v>
      </c>
      <c r="E814" s="51" t="s">
        <v>84</v>
      </c>
      <c r="F814" s="53" t="s">
        <v>89</v>
      </c>
      <c r="G814" s="53">
        <v>10820</v>
      </c>
    </row>
    <row r="815" spans="1:7">
      <c r="A815" s="53">
        <v>83522056</v>
      </c>
      <c r="B815" s="53">
        <v>39</v>
      </c>
      <c r="C815" s="53" t="s">
        <v>83</v>
      </c>
      <c r="D815" s="53" t="s">
        <v>82</v>
      </c>
      <c r="E815" s="51" t="s">
        <v>81</v>
      </c>
      <c r="F815" s="53" t="s">
        <v>80</v>
      </c>
      <c r="G815" s="53">
        <v>12169</v>
      </c>
    </row>
    <row r="816" spans="1:7">
      <c r="A816" s="53">
        <v>80509362</v>
      </c>
      <c r="B816" s="53">
        <v>40</v>
      </c>
      <c r="C816" s="53" t="s">
        <v>83</v>
      </c>
      <c r="D816" s="53" t="s">
        <v>82</v>
      </c>
      <c r="E816" s="51" t="s">
        <v>84</v>
      </c>
      <c r="F816" s="53" t="s">
        <v>80</v>
      </c>
      <c r="G816" s="53">
        <v>19626</v>
      </c>
    </row>
    <row r="817" spans="1:7">
      <c r="A817" s="53">
        <v>87546568</v>
      </c>
      <c r="B817" s="53">
        <v>21</v>
      </c>
      <c r="C817" s="53" t="s">
        <v>83</v>
      </c>
      <c r="D817" s="53" t="s">
        <v>87</v>
      </c>
      <c r="E817" s="51" t="s">
        <v>86</v>
      </c>
      <c r="F817" s="53" t="s">
        <v>89</v>
      </c>
      <c r="G817" s="53">
        <v>2070</v>
      </c>
    </row>
    <row r="818" spans="1:7">
      <c r="A818" s="53">
        <v>83728192</v>
      </c>
      <c r="B818" s="53">
        <v>39</v>
      </c>
      <c r="C818" s="53" t="s">
        <v>83</v>
      </c>
      <c r="D818" s="53" t="s">
        <v>82</v>
      </c>
      <c r="E818" s="51" t="s">
        <v>81</v>
      </c>
      <c r="F818" s="53" t="s">
        <v>80</v>
      </c>
      <c r="G818" s="53">
        <v>6782</v>
      </c>
    </row>
    <row r="819" spans="1:7">
      <c r="A819" s="53">
        <v>87538406</v>
      </c>
      <c r="B819" s="53">
        <v>36</v>
      </c>
      <c r="C819" s="53" t="s">
        <v>83</v>
      </c>
      <c r="D819" s="53" t="s">
        <v>91</v>
      </c>
      <c r="E819" s="51" t="s">
        <v>81</v>
      </c>
      <c r="F819" s="53" t="s">
        <v>80</v>
      </c>
      <c r="G819" s="53">
        <v>7779</v>
      </c>
    </row>
    <row r="820" spans="1:7">
      <c r="A820" s="53">
        <v>89029089</v>
      </c>
      <c r="B820" s="53">
        <v>31</v>
      </c>
      <c r="C820" s="53" t="s">
        <v>85</v>
      </c>
      <c r="D820" s="53" t="s">
        <v>82</v>
      </c>
      <c r="E820" s="51" t="s">
        <v>81</v>
      </c>
      <c r="F820" s="53" t="s">
        <v>80</v>
      </c>
      <c r="G820" s="53">
        <v>2791</v>
      </c>
    </row>
    <row r="821" spans="1:7">
      <c r="A821" s="53">
        <v>85159220</v>
      </c>
      <c r="B821" s="53">
        <v>28</v>
      </c>
      <c r="C821" s="53" t="s">
        <v>83</v>
      </c>
      <c r="D821" s="53" t="s">
        <v>87</v>
      </c>
      <c r="E821" s="51" t="s">
        <v>86</v>
      </c>
      <c r="F821" s="53" t="s">
        <v>80</v>
      </c>
      <c r="G821" s="53">
        <v>3201</v>
      </c>
    </row>
    <row r="822" spans="1:7">
      <c r="A822" s="53">
        <v>84053471</v>
      </c>
      <c r="B822" s="53">
        <v>35</v>
      </c>
      <c r="C822" s="53" t="s">
        <v>85</v>
      </c>
      <c r="D822" s="53" t="s">
        <v>88</v>
      </c>
      <c r="E822" s="51" t="s">
        <v>81</v>
      </c>
      <c r="F822" s="53" t="s">
        <v>80</v>
      </c>
      <c r="G822" s="53">
        <v>4968</v>
      </c>
    </row>
    <row r="823" spans="1:7">
      <c r="A823" s="53">
        <v>87542908</v>
      </c>
      <c r="B823" s="53">
        <v>49</v>
      </c>
      <c r="C823" s="53" t="s">
        <v>85</v>
      </c>
      <c r="D823" s="53" t="s">
        <v>91</v>
      </c>
      <c r="E823" s="51" t="s">
        <v>84</v>
      </c>
      <c r="F823" s="53" t="s">
        <v>80</v>
      </c>
      <c r="G823" s="53">
        <v>13120</v>
      </c>
    </row>
    <row r="824" spans="1:7">
      <c r="A824" s="53">
        <v>83659397</v>
      </c>
      <c r="B824" s="53">
        <v>34</v>
      </c>
      <c r="C824" s="53" t="s">
        <v>83</v>
      </c>
      <c r="D824" s="53" t="s">
        <v>88</v>
      </c>
      <c r="E824" s="51" t="s">
        <v>81</v>
      </c>
      <c r="F824" s="53" t="s">
        <v>80</v>
      </c>
      <c r="G824" s="53">
        <v>4033</v>
      </c>
    </row>
    <row r="825" spans="1:7">
      <c r="A825" s="53">
        <v>84968274</v>
      </c>
      <c r="B825" s="53">
        <v>29</v>
      </c>
      <c r="C825" s="53" t="s">
        <v>83</v>
      </c>
      <c r="D825" s="53" t="s">
        <v>82</v>
      </c>
      <c r="E825" s="51" t="s">
        <v>86</v>
      </c>
      <c r="F825" s="53" t="s">
        <v>89</v>
      </c>
      <c r="G825" s="53">
        <v>3291</v>
      </c>
    </row>
    <row r="826" spans="1:7">
      <c r="A826" s="53">
        <v>84419310</v>
      </c>
      <c r="B826" s="53">
        <v>42</v>
      </c>
      <c r="C826" s="53" t="s">
        <v>83</v>
      </c>
      <c r="D826" s="53" t="s">
        <v>82</v>
      </c>
      <c r="E826" s="51" t="s">
        <v>84</v>
      </c>
      <c r="F826" s="53" t="s">
        <v>80</v>
      </c>
      <c r="G826" s="53">
        <v>4272</v>
      </c>
    </row>
    <row r="827" spans="1:7">
      <c r="A827" s="53">
        <v>83790953</v>
      </c>
      <c r="B827" s="53">
        <v>29</v>
      </c>
      <c r="C827" s="53" t="s">
        <v>83</v>
      </c>
      <c r="D827" s="53" t="s">
        <v>87</v>
      </c>
      <c r="E827" s="51" t="s">
        <v>86</v>
      </c>
      <c r="F827" s="53" t="s">
        <v>80</v>
      </c>
      <c r="G827" s="53">
        <v>5056</v>
      </c>
    </row>
    <row r="828" spans="1:7">
      <c r="A828" s="53">
        <v>84009810</v>
      </c>
      <c r="B828" s="53">
        <v>38</v>
      </c>
      <c r="C828" s="53" t="s">
        <v>93</v>
      </c>
      <c r="D828" s="53" t="s">
        <v>82</v>
      </c>
      <c r="E828" s="51" t="s">
        <v>81</v>
      </c>
      <c r="F828" s="53" t="s">
        <v>80</v>
      </c>
      <c r="G828" s="53">
        <v>2844</v>
      </c>
    </row>
    <row r="829" spans="1:7">
      <c r="A829" s="53">
        <v>85090880</v>
      </c>
      <c r="B829" s="53">
        <v>28</v>
      </c>
      <c r="C829" s="53" t="s">
        <v>83</v>
      </c>
      <c r="D829" s="53" t="s">
        <v>82</v>
      </c>
      <c r="E829" s="51" t="s">
        <v>86</v>
      </c>
      <c r="F829" s="53" t="s">
        <v>80</v>
      </c>
      <c r="G829" s="53">
        <v>2703</v>
      </c>
    </row>
    <row r="830" spans="1:7">
      <c r="A830" s="53">
        <v>82888323</v>
      </c>
      <c r="B830" s="53">
        <v>26</v>
      </c>
      <c r="C830" s="53" t="s">
        <v>83</v>
      </c>
      <c r="D830" s="53" t="s">
        <v>87</v>
      </c>
      <c r="E830" s="51" t="s">
        <v>95</v>
      </c>
      <c r="F830" s="53" t="s">
        <v>80</v>
      </c>
      <c r="G830" s="53">
        <v>1904</v>
      </c>
    </row>
    <row r="831" spans="1:7">
      <c r="A831" s="53">
        <v>87173913</v>
      </c>
      <c r="B831" s="53">
        <v>33</v>
      </c>
      <c r="C831" s="53" t="s">
        <v>85</v>
      </c>
      <c r="D831" s="53" t="s">
        <v>91</v>
      </c>
      <c r="E831" s="51" t="s">
        <v>81</v>
      </c>
      <c r="F831" s="53" t="s">
        <v>89</v>
      </c>
      <c r="G831" s="53">
        <v>8224</v>
      </c>
    </row>
    <row r="832" spans="1:7">
      <c r="A832" s="53">
        <v>87577908</v>
      </c>
      <c r="B832" s="53">
        <v>41</v>
      </c>
      <c r="C832" s="53" t="s">
        <v>83</v>
      </c>
      <c r="D832" s="53" t="s">
        <v>91</v>
      </c>
      <c r="E832" s="51" t="s">
        <v>84</v>
      </c>
      <c r="F832" s="53" t="s">
        <v>80</v>
      </c>
      <c r="G832" s="53">
        <v>4766</v>
      </c>
    </row>
    <row r="833" spans="1:7">
      <c r="A833" s="53">
        <v>83322744</v>
      </c>
      <c r="B833" s="53">
        <v>31</v>
      </c>
      <c r="C833" s="53" t="s">
        <v>83</v>
      </c>
      <c r="D833" s="53" t="s">
        <v>82</v>
      </c>
      <c r="E833" s="51" t="s">
        <v>81</v>
      </c>
      <c r="F833" s="53" t="s">
        <v>80</v>
      </c>
      <c r="G833" s="53">
        <v>2610</v>
      </c>
    </row>
    <row r="834" spans="1:7">
      <c r="A834" s="53">
        <v>86803453</v>
      </c>
      <c r="B834" s="53">
        <v>37</v>
      </c>
      <c r="C834" s="53" t="s">
        <v>83</v>
      </c>
      <c r="D834" s="53" t="s">
        <v>88</v>
      </c>
      <c r="E834" s="51" t="s">
        <v>81</v>
      </c>
      <c r="F834" s="53" t="s">
        <v>89</v>
      </c>
      <c r="G834" s="53">
        <v>5731</v>
      </c>
    </row>
    <row r="835" spans="1:7">
      <c r="A835" s="53">
        <v>84878682</v>
      </c>
      <c r="B835" s="53">
        <v>27</v>
      </c>
      <c r="C835" s="53" t="s">
        <v>83</v>
      </c>
      <c r="D835" s="53" t="s">
        <v>82</v>
      </c>
      <c r="E835" s="51" t="s">
        <v>86</v>
      </c>
      <c r="F835" s="53" t="s">
        <v>80</v>
      </c>
      <c r="G835" s="53">
        <v>2539</v>
      </c>
    </row>
    <row r="836" spans="1:7">
      <c r="A836" s="53">
        <v>80593605</v>
      </c>
      <c r="B836" s="53">
        <v>34</v>
      </c>
      <c r="C836" s="53" t="s">
        <v>85</v>
      </c>
      <c r="D836" s="53" t="s">
        <v>87</v>
      </c>
      <c r="E836" s="51" t="s">
        <v>81</v>
      </c>
      <c r="F836" s="53" t="s">
        <v>89</v>
      </c>
      <c r="G836" s="53">
        <v>5714</v>
      </c>
    </row>
    <row r="837" spans="1:7">
      <c r="A837" s="53">
        <v>89054563</v>
      </c>
      <c r="B837" s="53">
        <v>35</v>
      </c>
      <c r="C837" s="53" t="s">
        <v>93</v>
      </c>
      <c r="D837" s="53" t="s">
        <v>91</v>
      </c>
      <c r="E837" s="51" t="s">
        <v>81</v>
      </c>
      <c r="F837" s="53" t="s">
        <v>80</v>
      </c>
      <c r="G837" s="53">
        <v>4323</v>
      </c>
    </row>
    <row r="838" spans="1:7">
      <c r="A838" s="53">
        <v>88842119</v>
      </c>
      <c r="B838" s="53">
        <v>29</v>
      </c>
      <c r="C838" s="53" t="s">
        <v>85</v>
      </c>
      <c r="D838" s="53" t="s">
        <v>87</v>
      </c>
      <c r="E838" s="51" t="s">
        <v>86</v>
      </c>
      <c r="F838" s="53" t="s">
        <v>89</v>
      </c>
      <c r="G838" s="53">
        <v>7336</v>
      </c>
    </row>
    <row r="839" spans="1:7">
      <c r="A839" s="53">
        <v>85003522</v>
      </c>
      <c r="B839" s="53">
        <v>40</v>
      </c>
      <c r="C839" s="53" t="s">
        <v>83</v>
      </c>
      <c r="D839" s="53" t="s">
        <v>91</v>
      </c>
      <c r="E839" s="51" t="s">
        <v>84</v>
      </c>
      <c r="F839" s="53" t="s">
        <v>89</v>
      </c>
      <c r="G839" s="53">
        <v>13499</v>
      </c>
    </row>
    <row r="840" spans="1:7">
      <c r="A840" s="53">
        <v>84068924</v>
      </c>
      <c r="B840" s="53">
        <v>42</v>
      </c>
      <c r="C840" s="53" t="s">
        <v>85</v>
      </c>
      <c r="D840" s="53" t="s">
        <v>82</v>
      </c>
      <c r="E840" s="51" t="s">
        <v>84</v>
      </c>
      <c r="F840" s="53" t="s">
        <v>80</v>
      </c>
      <c r="G840" s="53">
        <v>13758</v>
      </c>
    </row>
    <row r="841" spans="1:7">
      <c r="A841" s="53">
        <v>80074388</v>
      </c>
      <c r="B841" s="53">
        <v>42</v>
      </c>
      <c r="C841" s="53" t="s">
        <v>85</v>
      </c>
      <c r="D841" s="53" t="s">
        <v>91</v>
      </c>
      <c r="E841" s="51" t="s">
        <v>84</v>
      </c>
      <c r="F841" s="53" t="s">
        <v>80</v>
      </c>
      <c r="G841" s="53">
        <v>5155</v>
      </c>
    </row>
    <row r="842" spans="1:7">
      <c r="A842" s="53">
        <v>84134105</v>
      </c>
      <c r="B842" s="53">
        <v>35</v>
      </c>
      <c r="C842" s="53" t="s">
        <v>83</v>
      </c>
      <c r="D842" s="53" t="s">
        <v>91</v>
      </c>
      <c r="E842" s="51" t="s">
        <v>81</v>
      </c>
      <c r="F842" s="53" t="s">
        <v>80</v>
      </c>
      <c r="G842" s="53">
        <v>2258</v>
      </c>
    </row>
    <row r="843" spans="1:7">
      <c r="A843" s="53">
        <v>80495749</v>
      </c>
      <c r="B843" s="53">
        <v>24</v>
      </c>
      <c r="C843" s="53" t="s">
        <v>83</v>
      </c>
      <c r="D843" s="53" t="s">
        <v>82</v>
      </c>
      <c r="E843" s="51" t="s">
        <v>86</v>
      </c>
      <c r="F843" s="53" t="s">
        <v>80</v>
      </c>
      <c r="G843" s="53">
        <v>3597</v>
      </c>
    </row>
    <row r="844" spans="1:7">
      <c r="A844" s="53">
        <v>88666755</v>
      </c>
      <c r="B844" s="53">
        <v>28</v>
      </c>
      <c r="C844" s="53" t="s">
        <v>83</v>
      </c>
      <c r="D844" s="53" t="s">
        <v>87</v>
      </c>
      <c r="E844" s="51" t="s">
        <v>86</v>
      </c>
      <c r="F844" s="53" t="s">
        <v>89</v>
      </c>
      <c r="G844" s="53">
        <v>2515</v>
      </c>
    </row>
    <row r="845" spans="1:7">
      <c r="A845" s="53">
        <v>82843594</v>
      </c>
      <c r="B845" s="53">
        <v>26</v>
      </c>
      <c r="C845" s="53" t="s">
        <v>83</v>
      </c>
      <c r="D845" s="53" t="s">
        <v>91</v>
      </c>
      <c r="E845" s="51" t="s">
        <v>86</v>
      </c>
      <c r="F845" s="53" t="s">
        <v>80</v>
      </c>
      <c r="G845" s="53">
        <v>4420</v>
      </c>
    </row>
    <row r="846" spans="1:7">
      <c r="A846" s="53">
        <v>82287919</v>
      </c>
      <c r="B846" s="53">
        <v>30</v>
      </c>
      <c r="C846" s="53" t="s">
        <v>85</v>
      </c>
      <c r="D846" s="53" t="s">
        <v>82</v>
      </c>
      <c r="E846" s="51" t="s">
        <v>81</v>
      </c>
      <c r="F846" s="53" t="s">
        <v>80</v>
      </c>
      <c r="G846" s="53">
        <v>6578</v>
      </c>
    </row>
    <row r="847" spans="1:7">
      <c r="A847" s="53">
        <v>87715152</v>
      </c>
      <c r="B847" s="53">
        <v>40</v>
      </c>
      <c r="C847" s="53" t="s">
        <v>83</v>
      </c>
      <c r="D847" s="53" t="s">
        <v>88</v>
      </c>
      <c r="E847" s="51" t="s">
        <v>84</v>
      </c>
      <c r="F847" s="53" t="s">
        <v>89</v>
      </c>
      <c r="G847" s="53">
        <v>4422</v>
      </c>
    </row>
    <row r="848" spans="1:7">
      <c r="A848" s="53">
        <v>83810391</v>
      </c>
      <c r="B848" s="53">
        <v>35</v>
      </c>
      <c r="C848" s="53" t="s">
        <v>83</v>
      </c>
      <c r="D848" s="53" t="s">
        <v>82</v>
      </c>
      <c r="E848" s="51" t="s">
        <v>81</v>
      </c>
      <c r="F848" s="53" t="s">
        <v>80</v>
      </c>
      <c r="G848" s="53">
        <v>10274</v>
      </c>
    </row>
    <row r="849" spans="1:7">
      <c r="A849" s="53">
        <v>89739975</v>
      </c>
      <c r="B849" s="53">
        <v>34</v>
      </c>
      <c r="C849" s="53" t="s">
        <v>83</v>
      </c>
      <c r="D849" s="53" t="s">
        <v>82</v>
      </c>
      <c r="E849" s="51" t="s">
        <v>81</v>
      </c>
      <c r="F849" s="53" t="s">
        <v>80</v>
      </c>
      <c r="G849" s="53">
        <v>5343</v>
      </c>
    </row>
    <row r="850" spans="1:7">
      <c r="A850" s="53">
        <v>83914323</v>
      </c>
      <c r="B850" s="53">
        <v>35</v>
      </c>
      <c r="C850" s="53" t="s">
        <v>83</v>
      </c>
      <c r="D850" s="53" t="s">
        <v>91</v>
      </c>
      <c r="E850" s="51" t="s">
        <v>81</v>
      </c>
      <c r="F850" s="53" t="s">
        <v>80</v>
      </c>
      <c r="G850" s="53">
        <v>2376</v>
      </c>
    </row>
    <row r="851" spans="1:7">
      <c r="A851" s="53">
        <v>84123500</v>
      </c>
      <c r="B851" s="53">
        <v>43</v>
      </c>
      <c r="C851" s="53" t="s">
        <v>85</v>
      </c>
      <c r="D851" s="53" t="s">
        <v>82</v>
      </c>
      <c r="E851" s="51" t="s">
        <v>84</v>
      </c>
      <c r="F851" s="53" t="s">
        <v>89</v>
      </c>
      <c r="G851" s="53">
        <v>5346</v>
      </c>
    </row>
    <row r="852" spans="1:7">
      <c r="A852" s="53">
        <v>81015211</v>
      </c>
      <c r="B852" s="53">
        <v>32</v>
      </c>
      <c r="C852" s="53" t="s">
        <v>85</v>
      </c>
      <c r="D852" s="53" t="s">
        <v>87</v>
      </c>
      <c r="E852" s="51" t="s">
        <v>81</v>
      </c>
      <c r="F852" s="53" t="s">
        <v>89</v>
      </c>
      <c r="G852" s="53">
        <v>2827</v>
      </c>
    </row>
    <row r="853" spans="1:7">
      <c r="A853" s="53">
        <v>89813048</v>
      </c>
      <c r="B853" s="53">
        <v>56</v>
      </c>
      <c r="C853" s="53" t="s">
        <v>83</v>
      </c>
      <c r="D853" s="53" t="s">
        <v>91</v>
      </c>
      <c r="E853" s="51" t="s">
        <v>90</v>
      </c>
      <c r="F853" s="53" t="s">
        <v>89</v>
      </c>
      <c r="G853" s="53">
        <v>19943</v>
      </c>
    </row>
    <row r="854" spans="1:7">
      <c r="A854" s="53">
        <v>88761422</v>
      </c>
      <c r="B854" s="53">
        <v>29</v>
      </c>
      <c r="C854" s="53" t="s">
        <v>83</v>
      </c>
      <c r="D854" s="53" t="s">
        <v>87</v>
      </c>
      <c r="E854" s="51" t="s">
        <v>86</v>
      </c>
      <c r="F854" s="53" t="s">
        <v>89</v>
      </c>
      <c r="G854" s="53">
        <v>3131</v>
      </c>
    </row>
    <row r="855" spans="1:7">
      <c r="A855" s="53">
        <v>85988255</v>
      </c>
      <c r="B855" s="53">
        <v>25</v>
      </c>
      <c r="C855" s="53" t="s">
        <v>83</v>
      </c>
      <c r="D855" s="53" t="s">
        <v>88</v>
      </c>
      <c r="E855" s="51" t="s">
        <v>95</v>
      </c>
      <c r="F855" s="53" t="s">
        <v>80</v>
      </c>
      <c r="G855" s="53">
        <v>2552</v>
      </c>
    </row>
    <row r="856" spans="1:7">
      <c r="A856" s="53">
        <v>83483118</v>
      </c>
      <c r="B856" s="53">
        <v>45</v>
      </c>
      <c r="C856" s="53" t="s">
        <v>83</v>
      </c>
      <c r="D856" s="53" t="s">
        <v>82</v>
      </c>
      <c r="E856" s="51" t="s">
        <v>84</v>
      </c>
      <c r="F856" s="53" t="s">
        <v>89</v>
      </c>
      <c r="G856" s="53">
        <v>4477</v>
      </c>
    </row>
    <row r="857" spans="1:7">
      <c r="A857" s="53">
        <v>82803683</v>
      </c>
      <c r="B857" s="53">
        <v>37</v>
      </c>
      <c r="C857" s="53" t="s">
        <v>83</v>
      </c>
      <c r="D857" s="53" t="s">
        <v>82</v>
      </c>
      <c r="E857" s="51" t="s">
        <v>81</v>
      </c>
      <c r="F857" s="53" t="s">
        <v>89</v>
      </c>
      <c r="G857" s="53">
        <v>6474</v>
      </c>
    </row>
    <row r="858" spans="1:7">
      <c r="A858" s="53">
        <v>85265605</v>
      </c>
      <c r="B858" s="53">
        <v>20</v>
      </c>
      <c r="C858" s="53" t="s">
        <v>83</v>
      </c>
      <c r="D858" s="53" t="s">
        <v>82</v>
      </c>
      <c r="E858" s="51" t="s">
        <v>86</v>
      </c>
      <c r="F858" s="53" t="s">
        <v>80</v>
      </c>
      <c r="G858" s="53">
        <v>3033</v>
      </c>
    </row>
    <row r="859" spans="1:7">
      <c r="A859" s="53">
        <v>81420080</v>
      </c>
      <c r="B859" s="53">
        <v>44</v>
      </c>
      <c r="C859" s="53" t="s">
        <v>83</v>
      </c>
      <c r="D859" s="53" t="s">
        <v>91</v>
      </c>
      <c r="E859" s="51" t="s">
        <v>84</v>
      </c>
      <c r="F859" s="53" t="s">
        <v>80</v>
      </c>
      <c r="G859" s="53">
        <v>2936</v>
      </c>
    </row>
    <row r="860" spans="1:7">
      <c r="A860" s="53">
        <v>86608754</v>
      </c>
      <c r="B860" s="53">
        <v>53</v>
      </c>
      <c r="C860" s="53" t="s">
        <v>83</v>
      </c>
      <c r="D860" s="53" t="s">
        <v>88</v>
      </c>
      <c r="E860" s="51" t="s">
        <v>90</v>
      </c>
      <c r="F860" s="53" t="s">
        <v>89</v>
      </c>
      <c r="G860" s="53">
        <v>18606</v>
      </c>
    </row>
    <row r="861" spans="1:7">
      <c r="A861" s="53">
        <v>82832779</v>
      </c>
      <c r="B861" s="53">
        <v>29</v>
      </c>
      <c r="C861" s="53" t="s">
        <v>83</v>
      </c>
      <c r="D861" s="53" t="s">
        <v>87</v>
      </c>
      <c r="E861" s="51" t="s">
        <v>86</v>
      </c>
      <c r="F861" s="53" t="s">
        <v>89</v>
      </c>
      <c r="G861" s="53">
        <v>2168</v>
      </c>
    </row>
    <row r="862" spans="1:7">
      <c r="A862" s="53">
        <v>86997580</v>
      </c>
      <c r="B862" s="53">
        <v>22</v>
      </c>
      <c r="C862" s="53" t="s">
        <v>83</v>
      </c>
      <c r="D862" s="53" t="s">
        <v>91</v>
      </c>
      <c r="E862" s="51" t="s">
        <v>86</v>
      </c>
      <c r="F862" s="53" t="s">
        <v>80</v>
      </c>
      <c r="G862" s="53">
        <v>2853</v>
      </c>
    </row>
    <row r="863" spans="1:7">
      <c r="A863" s="53">
        <v>84040761</v>
      </c>
      <c r="B863" s="53">
        <v>46</v>
      </c>
      <c r="C863" s="53" t="s">
        <v>85</v>
      </c>
      <c r="D863" s="53" t="s">
        <v>82</v>
      </c>
      <c r="E863" s="51" t="s">
        <v>84</v>
      </c>
      <c r="F863" s="53" t="s">
        <v>89</v>
      </c>
      <c r="G863" s="53">
        <v>17048</v>
      </c>
    </row>
    <row r="864" spans="1:7">
      <c r="A864" s="53">
        <v>88160841</v>
      </c>
      <c r="B864" s="53">
        <v>44</v>
      </c>
      <c r="C864" s="53" t="s">
        <v>83</v>
      </c>
      <c r="D864" s="53" t="s">
        <v>82</v>
      </c>
      <c r="E864" s="51" t="s">
        <v>84</v>
      </c>
      <c r="F864" s="53" t="s">
        <v>80</v>
      </c>
      <c r="G864" s="53">
        <v>2290</v>
      </c>
    </row>
    <row r="865" spans="1:7">
      <c r="A865" s="53">
        <v>82289411</v>
      </c>
      <c r="B865" s="53">
        <v>33</v>
      </c>
      <c r="C865" s="53" t="s">
        <v>93</v>
      </c>
      <c r="D865" s="53" t="s">
        <v>82</v>
      </c>
      <c r="E865" s="51" t="s">
        <v>81</v>
      </c>
      <c r="F865" s="53" t="s">
        <v>80</v>
      </c>
      <c r="G865" s="53">
        <v>3600</v>
      </c>
    </row>
    <row r="866" spans="1:7">
      <c r="A866" s="53">
        <v>89139523</v>
      </c>
      <c r="B866" s="53">
        <v>41</v>
      </c>
      <c r="C866" s="53" t="s">
        <v>83</v>
      </c>
      <c r="D866" s="53" t="s">
        <v>88</v>
      </c>
      <c r="E866" s="51" t="s">
        <v>84</v>
      </c>
      <c r="F866" s="53" t="s">
        <v>80</v>
      </c>
      <c r="G866" s="53">
        <v>2107</v>
      </c>
    </row>
    <row r="867" spans="1:7">
      <c r="A867" s="53">
        <v>86288822</v>
      </c>
      <c r="B867" s="53">
        <v>30</v>
      </c>
      <c r="C867" s="53" t="s">
        <v>85</v>
      </c>
      <c r="D867" s="53" t="s">
        <v>91</v>
      </c>
      <c r="E867" s="51" t="s">
        <v>81</v>
      </c>
      <c r="F867" s="53" t="s">
        <v>80</v>
      </c>
      <c r="G867" s="53">
        <v>4115</v>
      </c>
    </row>
    <row r="868" spans="1:7">
      <c r="A868" s="53">
        <v>89534351</v>
      </c>
      <c r="B868" s="53">
        <v>40</v>
      </c>
      <c r="C868" s="53" t="s">
        <v>85</v>
      </c>
      <c r="D868" s="53" t="s">
        <v>91</v>
      </c>
      <c r="E868" s="51" t="s">
        <v>84</v>
      </c>
      <c r="F868" s="53" t="s">
        <v>80</v>
      </c>
      <c r="G868" s="53">
        <v>4327</v>
      </c>
    </row>
    <row r="869" spans="1:7">
      <c r="A869" s="53">
        <v>88554025</v>
      </c>
      <c r="B869" s="53">
        <v>50</v>
      </c>
      <c r="C869" s="53" t="s">
        <v>83</v>
      </c>
      <c r="D869" s="53" t="s">
        <v>82</v>
      </c>
      <c r="E869" s="51" t="s">
        <v>90</v>
      </c>
      <c r="F869" s="53" t="s">
        <v>89</v>
      </c>
      <c r="G869" s="53">
        <v>17856</v>
      </c>
    </row>
    <row r="870" spans="1:7">
      <c r="A870" s="53">
        <v>84572875</v>
      </c>
      <c r="B870" s="53">
        <v>28</v>
      </c>
      <c r="C870" s="53" t="s">
        <v>83</v>
      </c>
      <c r="D870" s="53" t="s">
        <v>91</v>
      </c>
      <c r="E870" s="51" t="s">
        <v>86</v>
      </c>
      <c r="F870" s="53" t="s">
        <v>80</v>
      </c>
      <c r="G870" s="53">
        <v>3196</v>
      </c>
    </row>
    <row r="871" spans="1:7">
      <c r="A871" s="53">
        <v>80691814</v>
      </c>
      <c r="B871" s="53">
        <v>46</v>
      </c>
      <c r="C871" s="53" t="s">
        <v>83</v>
      </c>
      <c r="D871" s="53" t="s">
        <v>88</v>
      </c>
      <c r="E871" s="51" t="s">
        <v>84</v>
      </c>
      <c r="F871" s="53" t="s">
        <v>80</v>
      </c>
      <c r="G871" s="53">
        <v>19081</v>
      </c>
    </row>
    <row r="872" spans="1:7">
      <c r="A872" s="53">
        <v>85812970</v>
      </c>
      <c r="B872" s="53">
        <v>35</v>
      </c>
      <c r="C872" s="53" t="s">
        <v>85</v>
      </c>
      <c r="D872" s="53" t="s">
        <v>91</v>
      </c>
      <c r="E872" s="51" t="s">
        <v>81</v>
      </c>
      <c r="F872" s="53" t="s">
        <v>80</v>
      </c>
      <c r="G872" s="53">
        <v>8966</v>
      </c>
    </row>
    <row r="873" spans="1:7">
      <c r="A873" s="53">
        <v>88054224</v>
      </c>
      <c r="B873" s="53">
        <v>24</v>
      </c>
      <c r="C873" s="53" t="s">
        <v>83</v>
      </c>
      <c r="D873" s="53" t="s">
        <v>88</v>
      </c>
      <c r="E873" s="51" t="s">
        <v>86</v>
      </c>
      <c r="F873" s="53" t="s">
        <v>89</v>
      </c>
      <c r="G873" s="53">
        <v>2210</v>
      </c>
    </row>
    <row r="874" spans="1:7">
      <c r="A874" s="53">
        <v>89837356</v>
      </c>
      <c r="B874" s="53">
        <v>33</v>
      </c>
      <c r="C874" s="53" t="s">
        <v>85</v>
      </c>
      <c r="D874" s="53" t="s">
        <v>82</v>
      </c>
      <c r="E874" s="51" t="s">
        <v>81</v>
      </c>
      <c r="F874" s="53" t="s">
        <v>89</v>
      </c>
      <c r="G874" s="53">
        <v>4539</v>
      </c>
    </row>
    <row r="875" spans="1:7">
      <c r="A875" s="53">
        <v>89337722</v>
      </c>
      <c r="B875" s="53">
        <v>36</v>
      </c>
      <c r="C875" s="53" t="s">
        <v>83</v>
      </c>
      <c r="D875" s="53" t="s">
        <v>91</v>
      </c>
      <c r="E875" s="51" t="s">
        <v>81</v>
      </c>
      <c r="F875" s="53" t="s">
        <v>80</v>
      </c>
      <c r="G875" s="53">
        <v>2741</v>
      </c>
    </row>
    <row r="876" spans="1:7">
      <c r="A876" s="53">
        <v>85752999</v>
      </c>
      <c r="B876" s="53">
        <v>30</v>
      </c>
      <c r="C876" s="53" t="s">
        <v>83</v>
      </c>
      <c r="D876" s="53" t="s">
        <v>91</v>
      </c>
      <c r="E876" s="51" t="s">
        <v>81</v>
      </c>
      <c r="F876" s="53" t="s">
        <v>80</v>
      </c>
      <c r="G876" s="53">
        <v>3491</v>
      </c>
    </row>
    <row r="877" spans="1:7">
      <c r="A877" s="53">
        <v>84698753</v>
      </c>
      <c r="B877" s="53">
        <v>44</v>
      </c>
      <c r="C877" s="53" t="s">
        <v>83</v>
      </c>
      <c r="D877" s="53" t="s">
        <v>91</v>
      </c>
      <c r="E877" s="51" t="s">
        <v>84</v>
      </c>
      <c r="F877" s="53" t="s">
        <v>80</v>
      </c>
      <c r="G877" s="53">
        <v>4541</v>
      </c>
    </row>
    <row r="878" spans="1:7">
      <c r="A878" s="53">
        <v>83755822</v>
      </c>
      <c r="B878" s="53">
        <v>20</v>
      </c>
      <c r="C878" s="53" t="s">
        <v>85</v>
      </c>
      <c r="D878" s="53" t="s">
        <v>82</v>
      </c>
      <c r="E878" s="51" t="s">
        <v>86</v>
      </c>
      <c r="F878" s="53" t="s">
        <v>80</v>
      </c>
      <c r="G878" s="53">
        <v>2678</v>
      </c>
    </row>
    <row r="879" spans="1:7">
      <c r="A879" s="53">
        <v>88415135</v>
      </c>
      <c r="B879" s="53">
        <v>46</v>
      </c>
      <c r="C879" s="53" t="s">
        <v>83</v>
      </c>
      <c r="D879" s="53" t="s">
        <v>91</v>
      </c>
      <c r="E879" s="51" t="s">
        <v>84</v>
      </c>
      <c r="F879" s="53" t="s">
        <v>80</v>
      </c>
      <c r="G879" s="53">
        <v>7379</v>
      </c>
    </row>
    <row r="880" spans="1:7">
      <c r="A880" s="53">
        <v>81940133</v>
      </c>
      <c r="B880" s="53">
        <v>42</v>
      </c>
      <c r="C880" s="53" t="s">
        <v>93</v>
      </c>
      <c r="D880" s="53" t="s">
        <v>94</v>
      </c>
      <c r="E880" s="51" t="s">
        <v>84</v>
      </c>
      <c r="F880" s="53" t="s">
        <v>80</v>
      </c>
      <c r="G880" s="53">
        <v>6272</v>
      </c>
    </row>
    <row r="881" spans="1:7">
      <c r="A881" s="53">
        <v>83140562</v>
      </c>
      <c r="B881" s="53">
        <v>60</v>
      </c>
      <c r="C881" s="53" t="s">
        <v>85</v>
      </c>
      <c r="D881" s="53" t="s">
        <v>91</v>
      </c>
      <c r="E881" s="51" t="s">
        <v>90</v>
      </c>
      <c r="F881" s="53" t="s">
        <v>80</v>
      </c>
      <c r="G881" s="53">
        <v>5220</v>
      </c>
    </row>
    <row r="882" spans="1:7">
      <c r="A882" s="53">
        <v>80027568</v>
      </c>
      <c r="B882" s="53">
        <v>32</v>
      </c>
      <c r="C882" s="53" t="s">
        <v>83</v>
      </c>
      <c r="D882" s="53" t="s">
        <v>82</v>
      </c>
      <c r="E882" s="51" t="s">
        <v>81</v>
      </c>
      <c r="F882" s="53" t="s">
        <v>89</v>
      </c>
      <c r="G882" s="53">
        <v>2743</v>
      </c>
    </row>
    <row r="883" spans="1:7">
      <c r="A883" s="53">
        <v>85405047</v>
      </c>
      <c r="B883" s="53">
        <v>32</v>
      </c>
      <c r="C883" s="53" t="s">
        <v>83</v>
      </c>
      <c r="D883" s="53" t="s">
        <v>88</v>
      </c>
      <c r="E883" s="51" t="s">
        <v>81</v>
      </c>
      <c r="F883" s="53" t="s">
        <v>89</v>
      </c>
      <c r="G883" s="53">
        <v>4998</v>
      </c>
    </row>
    <row r="884" spans="1:7">
      <c r="A884" s="53">
        <v>87198804</v>
      </c>
      <c r="B884" s="53">
        <v>36</v>
      </c>
      <c r="C884" s="53" t="s">
        <v>83</v>
      </c>
      <c r="D884" s="53" t="s">
        <v>82</v>
      </c>
      <c r="E884" s="51" t="s">
        <v>81</v>
      </c>
      <c r="F884" s="53" t="s">
        <v>89</v>
      </c>
      <c r="G884" s="53">
        <v>10252</v>
      </c>
    </row>
    <row r="885" spans="1:7">
      <c r="A885" s="53">
        <v>84003633</v>
      </c>
      <c r="B885" s="53">
        <v>33</v>
      </c>
      <c r="C885" s="53" t="s">
        <v>83</v>
      </c>
      <c r="D885" s="53" t="s">
        <v>82</v>
      </c>
      <c r="E885" s="51" t="s">
        <v>81</v>
      </c>
      <c r="F885" s="53" t="s">
        <v>80</v>
      </c>
      <c r="G885" s="53">
        <v>2781</v>
      </c>
    </row>
    <row r="886" spans="1:7">
      <c r="A886" s="53">
        <v>82622115</v>
      </c>
      <c r="B886" s="53">
        <v>40</v>
      </c>
      <c r="C886" s="53" t="s">
        <v>85</v>
      </c>
      <c r="D886" s="53" t="s">
        <v>82</v>
      </c>
      <c r="E886" s="51" t="s">
        <v>84</v>
      </c>
      <c r="F886" s="53" t="s">
        <v>89</v>
      </c>
      <c r="G886" s="53">
        <v>6852</v>
      </c>
    </row>
    <row r="887" spans="1:7">
      <c r="A887" s="53">
        <v>86834524</v>
      </c>
      <c r="B887" s="53">
        <v>25</v>
      </c>
      <c r="C887" s="53" t="s">
        <v>85</v>
      </c>
      <c r="D887" s="53" t="s">
        <v>91</v>
      </c>
      <c r="E887" s="51" t="s">
        <v>86</v>
      </c>
      <c r="F887" s="53" t="s">
        <v>80</v>
      </c>
      <c r="G887" s="53">
        <v>4950</v>
      </c>
    </row>
    <row r="888" spans="1:7">
      <c r="A888" s="53">
        <v>87376657</v>
      </c>
      <c r="B888" s="53">
        <v>30</v>
      </c>
      <c r="C888" s="53" t="s">
        <v>83</v>
      </c>
      <c r="D888" s="53" t="s">
        <v>82</v>
      </c>
      <c r="E888" s="51" t="s">
        <v>81</v>
      </c>
      <c r="F888" s="53" t="s">
        <v>80</v>
      </c>
      <c r="G888" s="53">
        <v>3579</v>
      </c>
    </row>
    <row r="889" spans="1:7">
      <c r="A889" s="53">
        <v>81597518</v>
      </c>
      <c r="B889" s="53">
        <v>42</v>
      </c>
      <c r="C889" s="53" t="s">
        <v>83</v>
      </c>
      <c r="D889" s="53" t="s">
        <v>94</v>
      </c>
      <c r="E889" s="51" t="s">
        <v>84</v>
      </c>
      <c r="F889" s="53" t="s">
        <v>89</v>
      </c>
      <c r="G889" s="53">
        <v>13191</v>
      </c>
    </row>
    <row r="890" spans="1:7">
      <c r="A890" s="53">
        <v>86468850</v>
      </c>
      <c r="B890" s="53">
        <v>35</v>
      </c>
      <c r="C890" s="53" t="s">
        <v>85</v>
      </c>
      <c r="D890" s="53" t="s">
        <v>88</v>
      </c>
      <c r="E890" s="51" t="s">
        <v>81</v>
      </c>
      <c r="F890" s="53" t="s">
        <v>89</v>
      </c>
      <c r="G890" s="53">
        <v>10377</v>
      </c>
    </row>
    <row r="891" spans="1:7">
      <c r="A891" s="53">
        <v>80575090</v>
      </c>
      <c r="B891" s="53">
        <v>27</v>
      </c>
      <c r="C891" s="53" t="s">
        <v>83</v>
      </c>
      <c r="D891" s="53" t="s">
        <v>82</v>
      </c>
      <c r="E891" s="51" t="s">
        <v>86</v>
      </c>
      <c r="F891" s="53" t="s">
        <v>80</v>
      </c>
      <c r="G891" s="53">
        <v>2235</v>
      </c>
    </row>
    <row r="892" spans="1:7">
      <c r="A892" s="53">
        <v>84803126</v>
      </c>
      <c r="B892" s="53">
        <v>54</v>
      </c>
      <c r="C892" s="53" t="s">
        <v>83</v>
      </c>
      <c r="D892" s="53" t="s">
        <v>91</v>
      </c>
      <c r="E892" s="51" t="s">
        <v>90</v>
      </c>
      <c r="F892" s="53" t="s">
        <v>89</v>
      </c>
      <c r="G892" s="53">
        <v>10502</v>
      </c>
    </row>
    <row r="893" spans="1:7">
      <c r="A893" s="53">
        <v>85741001</v>
      </c>
      <c r="B893" s="53">
        <v>44</v>
      </c>
      <c r="C893" s="53" t="s">
        <v>83</v>
      </c>
      <c r="D893" s="53" t="s">
        <v>87</v>
      </c>
      <c r="E893" s="51" t="s">
        <v>84</v>
      </c>
      <c r="F893" s="53" t="s">
        <v>89</v>
      </c>
      <c r="G893" s="53">
        <v>2011</v>
      </c>
    </row>
    <row r="894" spans="1:7">
      <c r="A894" s="53">
        <v>88026172</v>
      </c>
      <c r="B894" s="53">
        <v>23</v>
      </c>
      <c r="C894" s="53" t="s">
        <v>83</v>
      </c>
      <c r="D894" s="53" t="s">
        <v>82</v>
      </c>
      <c r="E894" s="51" t="s">
        <v>95</v>
      </c>
      <c r="F894" s="53" t="s">
        <v>89</v>
      </c>
      <c r="G894" s="53">
        <v>1859</v>
      </c>
    </row>
    <row r="895" spans="1:7">
      <c r="A895" s="53">
        <v>87796022</v>
      </c>
      <c r="B895" s="53">
        <v>29</v>
      </c>
      <c r="C895" s="53" t="s">
        <v>83</v>
      </c>
      <c r="D895" s="53" t="s">
        <v>82</v>
      </c>
      <c r="E895" s="51" t="s">
        <v>86</v>
      </c>
      <c r="F895" s="53" t="s">
        <v>89</v>
      </c>
      <c r="G895" s="53">
        <v>3760</v>
      </c>
    </row>
    <row r="896" spans="1:7">
      <c r="A896" s="53">
        <v>83141972</v>
      </c>
      <c r="B896" s="53">
        <v>54</v>
      </c>
      <c r="C896" s="53" t="s">
        <v>83</v>
      </c>
      <c r="D896" s="53" t="s">
        <v>82</v>
      </c>
      <c r="E896" s="51" t="s">
        <v>90</v>
      </c>
      <c r="F896" s="53" t="s">
        <v>80</v>
      </c>
      <c r="G896" s="53">
        <v>17779</v>
      </c>
    </row>
    <row r="897" spans="1:7">
      <c r="A897" s="53">
        <v>86337873</v>
      </c>
      <c r="B897" s="53">
        <v>31</v>
      </c>
      <c r="C897" s="53" t="s">
        <v>83</v>
      </c>
      <c r="D897" s="53" t="s">
        <v>88</v>
      </c>
      <c r="E897" s="51" t="s">
        <v>81</v>
      </c>
      <c r="F897" s="53" t="s">
        <v>80</v>
      </c>
      <c r="G897" s="53">
        <v>6833</v>
      </c>
    </row>
    <row r="898" spans="1:7">
      <c r="A898" s="53">
        <v>85707403</v>
      </c>
      <c r="B898" s="53">
        <v>31</v>
      </c>
      <c r="C898" s="53" t="s">
        <v>83</v>
      </c>
      <c r="D898" s="53" t="s">
        <v>82</v>
      </c>
      <c r="E898" s="51" t="s">
        <v>81</v>
      </c>
      <c r="F898" s="53" t="s">
        <v>89</v>
      </c>
      <c r="G898" s="53">
        <v>6812</v>
      </c>
    </row>
    <row r="899" spans="1:7">
      <c r="A899" s="53">
        <v>83798577</v>
      </c>
      <c r="B899" s="53">
        <v>59</v>
      </c>
      <c r="C899" s="53" t="s">
        <v>85</v>
      </c>
      <c r="D899" s="53" t="s">
        <v>82</v>
      </c>
      <c r="E899" s="51" t="s">
        <v>90</v>
      </c>
      <c r="F899" s="53" t="s">
        <v>89</v>
      </c>
      <c r="G899" s="53">
        <v>5171</v>
      </c>
    </row>
    <row r="900" spans="1:7">
      <c r="A900" s="53">
        <v>88713685</v>
      </c>
      <c r="B900" s="53">
        <v>43</v>
      </c>
      <c r="C900" s="53" t="s">
        <v>83</v>
      </c>
      <c r="D900" s="53" t="s">
        <v>82</v>
      </c>
      <c r="E900" s="51" t="s">
        <v>84</v>
      </c>
      <c r="F900" s="53" t="s">
        <v>80</v>
      </c>
      <c r="G900" s="53">
        <v>19740</v>
      </c>
    </row>
    <row r="901" spans="1:7">
      <c r="A901" s="53">
        <v>89794945</v>
      </c>
      <c r="B901" s="53">
        <v>49</v>
      </c>
      <c r="C901" s="53" t="s">
        <v>83</v>
      </c>
      <c r="D901" s="53" t="s">
        <v>88</v>
      </c>
      <c r="E901" s="51" t="s">
        <v>84</v>
      </c>
      <c r="F901" s="53" t="s">
        <v>80</v>
      </c>
      <c r="G901" s="53">
        <v>18711</v>
      </c>
    </row>
    <row r="902" spans="1:7">
      <c r="A902" s="53">
        <v>85765670</v>
      </c>
      <c r="B902" s="53">
        <v>36</v>
      </c>
      <c r="C902" s="53" t="s">
        <v>83</v>
      </c>
      <c r="D902" s="53" t="s">
        <v>82</v>
      </c>
      <c r="E902" s="51" t="s">
        <v>81</v>
      </c>
      <c r="F902" s="53" t="s">
        <v>80</v>
      </c>
      <c r="G902" s="53">
        <v>3692</v>
      </c>
    </row>
    <row r="903" spans="1:7">
      <c r="A903" s="53">
        <v>85159706</v>
      </c>
      <c r="B903" s="53">
        <v>48</v>
      </c>
      <c r="C903" s="53" t="s">
        <v>83</v>
      </c>
      <c r="D903" s="53" t="s">
        <v>88</v>
      </c>
      <c r="E903" s="51" t="s">
        <v>84</v>
      </c>
      <c r="F903" s="53" t="s">
        <v>80</v>
      </c>
      <c r="G903" s="53">
        <v>2559</v>
      </c>
    </row>
    <row r="904" spans="1:7">
      <c r="A904" s="53">
        <v>87050982</v>
      </c>
      <c r="B904" s="53">
        <v>27</v>
      </c>
      <c r="C904" s="53" t="s">
        <v>83</v>
      </c>
      <c r="D904" s="53" t="s">
        <v>88</v>
      </c>
      <c r="E904" s="51" t="s">
        <v>86</v>
      </c>
      <c r="F904" s="53" t="s">
        <v>80</v>
      </c>
      <c r="G904" s="53">
        <v>2517</v>
      </c>
    </row>
    <row r="905" spans="1:7">
      <c r="A905" s="53">
        <v>88211734</v>
      </c>
      <c r="B905" s="53">
        <v>29</v>
      </c>
      <c r="C905" s="53" t="s">
        <v>83</v>
      </c>
      <c r="D905" s="53" t="s">
        <v>82</v>
      </c>
      <c r="E905" s="51" t="s">
        <v>86</v>
      </c>
      <c r="F905" s="53" t="s">
        <v>80</v>
      </c>
      <c r="G905" s="53">
        <v>6623</v>
      </c>
    </row>
    <row r="906" spans="1:7">
      <c r="A906" s="53">
        <v>85236014</v>
      </c>
      <c r="B906" s="53">
        <v>48</v>
      </c>
      <c r="C906" s="53" t="s">
        <v>83</v>
      </c>
      <c r="D906" s="53" t="s">
        <v>82</v>
      </c>
      <c r="E906" s="51" t="s">
        <v>84</v>
      </c>
      <c r="F906" s="53" t="s">
        <v>80</v>
      </c>
      <c r="G906" s="53">
        <v>18265</v>
      </c>
    </row>
    <row r="907" spans="1:7">
      <c r="A907" s="53">
        <v>89124679</v>
      </c>
      <c r="B907" s="53">
        <v>29</v>
      </c>
      <c r="C907" s="53" t="s">
        <v>83</v>
      </c>
      <c r="D907" s="53" t="s">
        <v>82</v>
      </c>
      <c r="E907" s="51" t="s">
        <v>86</v>
      </c>
      <c r="F907" s="53" t="s">
        <v>89</v>
      </c>
      <c r="G907" s="53">
        <v>16124</v>
      </c>
    </row>
    <row r="908" spans="1:7">
      <c r="A908" s="53">
        <v>83756582</v>
      </c>
      <c r="B908" s="53">
        <v>34</v>
      </c>
      <c r="C908" s="53" t="s">
        <v>83</v>
      </c>
      <c r="D908" s="53" t="s">
        <v>82</v>
      </c>
      <c r="E908" s="51" t="s">
        <v>81</v>
      </c>
      <c r="F908" s="53" t="s">
        <v>89</v>
      </c>
      <c r="G908" s="53">
        <v>2585</v>
      </c>
    </row>
    <row r="909" spans="1:7">
      <c r="A909" s="53">
        <v>85306385</v>
      </c>
      <c r="B909" s="53">
        <v>44</v>
      </c>
      <c r="C909" s="53" t="s">
        <v>85</v>
      </c>
      <c r="D909" s="53" t="s">
        <v>82</v>
      </c>
      <c r="E909" s="51" t="s">
        <v>84</v>
      </c>
      <c r="F909" s="53" t="s">
        <v>80</v>
      </c>
      <c r="G909" s="53">
        <v>18213</v>
      </c>
    </row>
    <row r="910" spans="1:7">
      <c r="A910" s="53">
        <v>80133689</v>
      </c>
      <c r="B910" s="53">
        <v>33</v>
      </c>
      <c r="C910" s="53" t="s">
        <v>85</v>
      </c>
      <c r="D910" s="53" t="s">
        <v>94</v>
      </c>
      <c r="E910" s="51" t="s">
        <v>81</v>
      </c>
      <c r="F910" s="53" t="s">
        <v>80</v>
      </c>
      <c r="G910" s="53">
        <v>8380</v>
      </c>
    </row>
    <row r="911" spans="1:7">
      <c r="A911" s="53">
        <v>86915921</v>
      </c>
      <c r="B911" s="53">
        <v>23</v>
      </c>
      <c r="C911" s="53" t="s">
        <v>83</v>
      </c>
      <c r="D911" s="53" t="s">
        <v>82</v>
      </c>
      <c r="E911" s="51" t="s">
        <v>95</v>
      </c>
      <c r="F911" s="53" t="s">
        <v>89</v>
      </c>
      <c r="G911" s="53">
        <v>2994</v>
      </c>
    </row>
    <row r="912" spans="1:7">
      <c r="A912" s="53">
        <v>83204205</v>
      </c>
      <c r="B912" s="53">
        <v>23</v>
      </c>
      <c r="C912" s="53" t="s">
        <v>83</v>
      </c>
      <c r="D912" s="53" t="s">
        <v>88</v>
      </c>
      <c r="E912" s="51" t="s">
        <v>86</v>
      </c>
      <c r="F912" s="53" t="s">
        <v>80</v>
      </c>
      <c r="G912" s="53">
        <v>1223</v>
      </c>
    </row>
    <row r="913" spans="1:7">
      <c r="A913" s="53">
        <v>85224935</v>
      </c>
      <c r="B913" s="53">
        <v>25</v>
      </c>
      <c r="C913" s="53" t="s">
        <v>85</v>
      </c>
      <c r="D913" s="53" t="s">
        <v>87</v>
      </c>
      <c r="E913" s="51" t="s">
        <v>86</v>
      </c>
      <c r="F913" s="53" t="s">
        <v>80</v>
      </c>
      <c r="G913" s="53">
        <v>1118</v>
      </c>
    </row>
    <row r="914" spans="1:7">
      <c r="A914" s="53">
        <v>86296427</v>
      </c>
      <c r="B914" s="53">
        <v>26</v>
      </c>
      <c r="C914" s="53" t="s">
        <v>83</v>
      </c>
      <c r="D914" s="53" t="s">
        <v>88</v>
      </c>
      <c r="E914" s="51" t="s">
        <v>86</v>
      </c>
      <c r="F914" s="53" t="s">
        <v>80</v>
      </c>
      <c r="G914" s="53">
        <v>2875</v>
      </c>
    </row>
    <row r="915" spans="1:7">
      <c r="A915" s="53">
        <v>81721264</v>
      </c>
      <c r="B915" s="53">
        <v>45</v>
      </c>
      <c r="C915" s="53" t="s">
        <v>85</v>
      </c>
      <c r="D915" s="53" t="s">
        <v>82</v>
      </c>
      <c r="E915" s="51" t="s">
        <v>84</v>
      </c>
      <c r="F915" s="53" t="s">
        <v>89</v>
      </c>
      <c r="G915" s="53">
        <v>18824</v>
      </c>
    </row>
    <row r="916" spans="1:7">
      <c r="A916" s="53">
        <v>88887792</v>
      </c>
      <c r="B916" s="53">
        <v>55</v>
      </c>
      <c r="C916" s="53" t="s">
        <v>83</v>
      </c>
      <c r="D916" s="53" t="s">
        <v>87</v>
      </c>
      <c r="E916" s="51" t="s">
        <v>90</v>
      </c>
      <c r="F916" s="53" t="s">
        <v>80</v>
      </c>
      <c r="G916" s="53">
        <v>13577</v>
      </c>
    </row>
    <row r="917" spans="1:7">
      <c r="A917" s="53">
        <v>80696559</v>
      </c>
      <c r="B917" s="53">
        <v>21</v>
      </c>
      <c r="C917" s="53" t="s">
        <v>83</v>
      </c>
      <c r="D917" s="53" t="s">
        <v>88</v>
      </c>
      <c r="E917" s="51" t="s">
        <v>86</v>
      </c>
      <c r="F917" s="53" t="s">
        <v>89</v>
      </c>
      <c r="G917" s="53">
        <v>2625</v>
      </c>
    </row>
    <row r="918" spans="1:7">
      <c r="A918" s="53">
        <v>83447623</v>
      </c>
      <c r="B918" s="53">
        <v>46</v>
      </c>
      <c r="C918" s="53" t="s">
        <v>85</v>
      </c>
      <c r="D918" s="53" t="s">
        <v>88</v>
      </c>
      <c r="E918" s="51" t="s">
        <v>84</v>
      </c>
      <c r="F918" s="53" t="s">
        <v>89</v>
      </c>
      <c r="G918" s="53">
        <v>18789</v>
      </c>
    </row>
    <row r="919" spans="1:7">
      <c r="A919" s="53">
        <v>87798462</v>
      </c>
      <c r="B919" s="53">
        <v>34</v>
      </c>
      <c r="C919" s="53" t="s">
        <v>85</v>
      </c>
      <c r="D919" s="53" t="s">
        <v>82</v>
      </c>
      <c r="E919" s="51" t="s">
        <v>81</v>
      </c>
      <c r="F919" s="53" t="s">
        <v>89</v>
      </c>
      <c r="G919" s="53">
        <v>4538</v>
      </c>
    </row>
    <row r="920" spans="1:7">
      <c r="A920" s="53">
        <v>86850207</v>
      </c>
      <c r="B920" s="53">
        <v>51</v>
      </c>
      <c r="C920" s="53" t="s">
        <v>85</v>
      </c>
      <c r="D920" s="53" t="s">
        <v>82</v>
      </c>
      <c r="E920" s="51" t="s">
        <v>90</v>
      </c>
      <c r="F920" s="53" t="s">
        <v>80</v>
      </c>
      <c r="G920" s="53">
        <v>19847</v>
      </c>
    </row>
    <row r="921" spans="1:7">
      <c r="A921" s="53">
        <v>84805593</v>
      </c>
      <c r="B921" s="53">
        <v>59</v>
      </c>
      <c r="C921" s="53" t="s">
        <v>83</v>
      </c>
      <c r="D921" s="53" t="s">
        <v>91</v>
      </c>
      <c r="E921" s="51" t="s">
        <v>90</v>
      </c>
      <c r="F921" s="53" t="s">
        <v>80</v>
      </c>
      <c r="G921" s="53">
        <v>10512</v>
      </c>
    </row>
    <row r="922" spans="1:7">
      <c r="A922" s="53">
        <v>83456081</v>
      </c>
      <c r="B922" s="53">
        <v>34</v>
      </c>
      <c r="C922" s="53" t="s">
        <v>83</v>
      </c>
      <c r="D922" s="53" t="s">
        <v>82</v>
      </c>
      <c r="E922" s="51" t="s">
        <v>81</v>
      </c>
      <c r="F922" s="53" t="s">
        <v>89</v>
      </c>
      <c r="G922" s="53">
        <v>4444</v>
      </c>
    </row>
    <row r="923" spans="1:7">
      <c r="A923" s="53">
        <v>82953703</v>
      </c>
      <c r="B923" s="53">
        <v>28</v>
      </c>
      <c r="C923" s="53" t="s">
        <v>83</v>
      </c>
      <c r="D923" s="53" t="s">
        <v>91</v>
      </c>
      <c r="E923" s="51" t="s">
        <v>86</v>
      </c>
      <c r="F923" s="53" t="s">
        <v>80</v>
      </c>
      <c r="G923" s="53">
        <v>2154</v>
      </c>
    </row>
    <row r="924" spans="1:7">
      <c r="A924" s="53">
        <v>86129130</v>
      </c>
      <c r="B924" s="53">
        <v>44</v>
      </c>
      <c r="C924" s="53" t="s">
        <v>83</v>
      </c>
      <c r="D924" s="53" t="s">
        <v>88</v>
      </c>
      <c r="E924" s="51" t="s">
        <v>84</v>
      </c>
      <c r="F924" s="53" t="s">
        <v>80</v>
      </c>
      <c r="G924" s="53">
        <v>19190</v>
      </c>
    </row>
    <row r="925" spans="1:7">
      <c r="A925" s="53">
        <v>83130602</v>
      </c>
      <c r="B925" s="53">
        <v>34</v>
      </c>
      <c r="C925" s="53" t="s">
        <v>93</v>
      </c>
      <c r="D925" s="53" t="s">
        <v>82</v>
      </c>
      <c r="E925" s="51" t="s">
        <v>81</v>
      </c>
      <c r="F925" s="53" t="s">
        <v>80</v>
      </c>
      <c r="G925" s="53">
        <v>4490</v>
      </c>
    </row>
    <row r="926" spans="1:7">
      <c r="A926" s="53">
        <v>81984904</v>
      </c>
      <c r="B926" s="53">
        <v>35</v>
      </c>
      <c r="C926" s="53" t="s">
        <v>83</v>
      </c>
      <c r="D926" s="53" t="s">
        <v>87</v>
      </c>
      <c r="E926" s="51" t="s">
        <v>81</v>
      </c>
      <c r="F926" s="53" t="s">
        <v>80</v>
      </c>
      <c r="G926" s="53">
        <v>3506</v>
      </c>
    </row>
    <row r="927" spans="1:7">
      <c r="A927" s="53">
        <v>82965735</v>
      </c>
      <c r="B927" s="53">
        <v>42</v>
      </c>
      <c r="C927" s="53" t="s">
        <v>83</v>
      </c>
      <c r="D927" s="53" t="s">
        <v>91</v>
      </c>
      <c r="E927" s="51" t="s">
        <v>84</v>
      </c>
      <c r="F927" s="53" t="s">
        <v>89</v>
      </c>
      <c r="G927" s="53">
        <v>2372</v>
      </c>
    </row>
    <row r="928" spans="1:7">
      <c r="A928" s="53">
        <v>85421830</v>
      </c>
      <c r="B928" s="53">
        <v>43</v>
      </c>
      <c r="C928" s="53" t="s">
        <v>85</v>
      </c>
      <c r="D928" s="53" t="s">
        <v>91</v>
      </c>
      <c r="E928" s="51" t="s">
        <v>84</v>
      </c>
      <c r="F928" s="53" t="s">
        <v>89</v>
      </c>
      <c r="G928" s="53">
        <v>10231</v>
      </c>
    </row>
    <row r="929" spans="1:7">
      <c r="A929" s="53">
        <v>80517822</v>
      </c>
      <c r="B929" s="53">
        <v>36</v>
      </c>
      <c r="C929" s="53" t="s">
        <v>83</v>
      </c>
      <c r="D929" s="53" t="s">
        <v>91</v>
      </c>
      <c r="E929" s="51" t="s">
        <v>81</v>
      </c>
      <c r="F929" s="53" t="s">
        <v>89</v>
      </c>
      <c r="G929" s="53">
        <v>5410</v>
      </c>
    </row>
    <row r="930" spans="1:7">
      <c r="A930" s="53">
        <v>84544569</v>
      </c>
      <c r="B930" s="53">
        <v>44</v>
      </c>
      <c r="C930" s="53" t="s">
        <v>83</v>
      </c>
      <c r="D930" s="53" t="s">
        <v>82</v>
      </c>
      <c r="E930" s="51" t="s">
        <v>84</v>
      </c>
      <c r="F930" s="53" t="s">
        <v>89</v>
      </c>
      <c r="G930" s="53">
        <v>7978</v>
      </c>
    </row>
    <row r="931" spans="1:7">
      <c r="A931" s="53">
        <v>87695138</v>
      </c>
      <c r="B931" s="53">
        <v>28</v>
      </c>
      <c r="C931" s="53" t="s">
        <v>83</v>
      </c>
      <c r="D931" s="53" t="s">
        <v>82</v>
      </c>
      <c r="E931" s="51" t="s">
        <v>86</v>
      </c>
      <c r="F931" s="53" t="s">
        <v>80</v>
      </c>
      <c r="G931" s="53">
        <v>3867</v>
      </c>
    </row>
    <row r="932" spans="1:7">
      <c r="A932" s="53">
        <v>81604323</v>
      </c>
      <c r="B932" s="53">
        <v>51</v>
      </c>
      <c r="C932" s="53" t="s">
        <v>83</v>
      </c>
      <c r="D932" s="53" t="s">
        <v>88</v>
      </c>
      <c r="E932" s="51" t="s">
        <v>90</v>
      </c>
      <c r="F932" s="53" t="s">
        <v>89</v>
      </c>
      <c r="G932" s="53">
        <v>2838</v>
      </c>
    </row>
    <row r="933" spans="1:7">
      <c r="A933" s="53">
        <v>81494628</v>
      </c>
      <c r="B933" s="53">
        <v>30</v>
      </c>
      <c r="C933" s="53" t="s">
        <v>83</v>
      </c>
      <c r="D933" s="53" t="s">
        <v>88</v>
      </c>
      <c r="E933" s="51" t="s">
        <v>81</v>
      </c>
      <c r="F933" s="53" t="s">
        <v>89</v>
      </c>
      <c r="G933" s="53">
        <v>4695</v>
      </c>
    </row>
    <row r="934" spans="1:7">
      <c r="A934" s="53">
        <v>86310574</v>
      </c>
      <c r="B934" s="53">
        <v>29</v>
      </c>
      <c r="C934" s="53" t="s">
        <v>83</v>
      </c>
      <c r="D934" s="53" t="s">
        <v>82</v>
      </c>
      <c r="E934" s="51" t="s">
        <v>86</v>
      </c>
      <c r="F934" s="53" t="s">
        <v>89</v>
      </c>
      <c r="G934" s="53">
        <v>3339</v>
      </c>
    </row>
    <row r="935" spans="1:7">
      <c r="A935" s="53">
        <v>86564021</v>
      </c>
      <c r="B935" s="53">
        <v>28</v>
      </c>
      <c r="C935" s="53" t="s">
        <v>83</v>
      </c>
      <c r="D935" s="53" t="s">
        <v>82</v>
      </c>
      <c r="E935" s="51" t="s">
        <v>86</v>
      </c>
      <c r="F935" s="53" t="s">
        <v>80</v>
      </c>
      <c r="G935" s="53">
        <v>2080</v>
      </c>
    </row>
    <row r="936" spans="1:7">
      <c r="A936" s="53">
        <v>80149438</v>
      </c>
      <c r="B936" s="53">
        <v>25</v>
      </c>
      <c r="C936" s="53" t="s">
        <v>83</v>
      </c>
      <c r="D936" s="53" t="s">
        <v>82</v>
      </c>
      <c r="E936" s="51" t="s">
        <v>86</v>
      </c>
      <c r="F936" s="53" t="s">
        <v>89</v>
      </c>
      <c r="G936" s="53">
        <v>2096</v>
      </c>
    </row>
    <row r="937" spans="1:7">
      <c r="A937" s="53">
        <v>87664832</v>
      </c>
      <c r="B937" s="53">
        <v>32</v>
      </c>
      <c r="C937" s="53" t="s">
        <v>85</v>
      </c>
      <c r="D937" s="53" t="s">
        <v>82</v>
      </c>
      <c r="E937" s="51" t="s">
        <v>81</v>
      </c>
      <c r="F937" s="53" t="s">
        <v>80</v>
      </c>
      <c r="G937" s="53">
        <v>6209</v>
      </c>
    </row>
    <row r="938" spans="1:7">
      <c r="A938" s="53">
        <v>82509757</v>
      </c>
      <c r="B938" s="53">
        <v>45</v>
      </c>
      <c r="C938" s="53" t="s">
        <v>83</v>
      </c>
      <c r="D938" s="53" t="s">
        <v>82</v>
      </c>
      <c r="E938" s="51" t="s">
        <v>84</v>
      </c>
      <c r="F938" s="53" t="s">
        <v>89</v>
      </c>
      <c r="G938" s="53">
        <v>18061</v>
      </c>
    </row>
    <row r="939" spans="1:7">
      <c r="A939" s="53">
        <v>85577458</v>
      </c>
      <c r="B939" s="53">
        <v>39</v>
      </c>
      <c r="C939" s="53" t="s">
        <v>83</v>
      </c>
      <c r="D939" s="53" t="s">
        <v>91</v>
      </c>
      <c r="E939" s="51" t="s">
        <v>81</v>
      </c>
      <c r="F939" s="53" t="s">
        <v>89</v>
      </c>
      <c r="G939" s="53">
        <v>17123</v>
      </c>
    </row>
    <row r="940" spans="1:7">
      <c r="A940" s="53">
        <v>87807398</v>
      </c>
      <c r="B940" s="53">
        <v>58</v>
      </c>
      <c r="C940" s="53" t="s">
        <v>83</v>
      </c>
      <c r="D940" s="53" t="s">
        <v>91</v>
      </c>
      <c r="E940" s="51" t="s">
        <v>90</v>
      </c>
      <c r="F940" s="53" t="s">
        <v>80</v>
      </c>
      <c r="G940" s="53">
        <v>2372</v>
      </c>
    </row>
    <row r="941" spans="1:7">
      <c r="A941" s="53">
        <v>85974738</v>
      </c>
      <c r="B941" s="53">
        <v>32</v>
      </c>
      <c r="C941" s="53" t="s">
        <v>83</v>
      </c>
      <c r="D941" s="53" t="s">
        <v>88</v>
      </c>
      <c r="E941" s="51" t="s">
        <v>81</v>
      </c>
      <c r="F941" s="53" t="s">
        <v>80</v>
      </c>
      <c r="G941" s="53">
        <v>4883</v>
      </c>
    </row>
    <row r="942" spans="1:7">
      <c r="A942" s="53">
        <v>84174514</v>
      </c>
      <c r="B942" s="53">
        <v>39</v>
      </c>
      <c r="C942" s="53" t="s">
        <v>83</v>
      </c>
      <c r="D942" s="53" t="s">
        <v>82</v>
      </c>
      <c r="E942" s="51" t="s">
        <v>81</v>
      </c>
      <c r="F942" s="53" t="s">
        <v>80</v>
      </c>
      <c r="G942" s="53">
        <v>3904</v>
      </c>
    </row>
    <row r="943" spans="1:7">
      <c r="A943" s="53">
        <v>88163272</v>
      </c>
      <c r="B943" s="53">
        <v>30</v>
      </c>
      <c r="C943" s="53" t="s">
        <v>83</v>
      </c>
      <c r="D943" s="53" t="s">
        <v>82</v>
      </c>
      <c r="E943" s="51" t="s">
        <v>81</v>
      </c>
      <c r="F943" s="53" t="s">
        <v>89</v>
      </c>
      <c r="G943" s="53">
        <v>4627</v>
      </c>
    </row>
    <row r="944" spans="1:7">
      <c r="A944" s="53">
        <v>89156966</v>
      </c>
      <c r="B944" s="53">
        <v>36</v>
      </c>
      <c r="C944" s="53" t="s">
        <v>83</v>
      </c>
      <c r="D944" s="53" t="s">
        <v>91</v>
      </c>
      <c r="E944" s="51" t="s">
        <v>81</v>
      </c>
      <c r="F944" s="53" t="s">
        <v>89</v>
      </c>
      <c r="G944" s="53">
        <v>7094</v>
      </c>
    </row>
    <row r="945" spans="1:7">
      <c r="A945" s="53">
        <v>87959470</v>
      </c>
      <c r="B945" s="53">
        <v>46</v>
      </c>
      <c r="C945" s="53" t="s">
        <v>93</v>
      </c>
      <c r="D945" s="53" t="s">
        <v>88</v>
      </c>
      <c r="E945" s="51" t="s">
        <v>84</v>
      </c>
      <c r="F945" s="53" t="s">
        <v>89</v>
      </c>
      <c r="G945" s="53">
        <v>3423</v>
      </c>
    </row>
    <row r="946" spans="1:7">
      <c r="A946" s="53">
        <v>87278544</v>
      </c>
      <c r="B946" s="53">
        <v>28</v>
      </c>
      <c r="C946" s="53" t="s">
        <v>83</v>
      </c>
      <c r="D946" s="53" t="s">
        <v>82</v>
      </c>
      <c r="E946" s="51" t="s">
        <v>86</v>
      </c>
      <c r="F946" s="53" t="s">
        <v>89</v>
      </c>
      <c r="G946" s="53">
        <v>6674</v>
      </c>
    </row>
    <row r="947" spans="1:7">
      <c r="A947" s="53">
        <v>83594318</v>
      </c>
      <c r="B947" s="53">
        <v>50</v>
      </c>
      <c r="C947" s="53" t="s">
        <v>83</v>
      </c>
      <c r="D947" s="53" t="s">
        <v>82</v>
      </c>
      <c r="E947" s="51" t="s">
        <v>90</v>
      </c>
      <c r="F947" s="53" t="s">
        <v>89</v>
      </c>
      <c r="G947" s="53">
        <v>16880</v>
      </c>
    </row>
    <row r="948" spans="1:7">
      <c r="A948" s="53">
        <v>88474457</v>
      </c>
      <c r="B948" s="53">
        <v>40</v>
      </c>
      <c r="C948" s="53" t="s">
        <v>85</v>
      </c>
      <c r="D948" s="53" t="s">
        <v>91</v>
      </c>
      <c r="E948" s="51" t="s">
        <v>84</v>
      </c>
      <c r="F948" s="53" t="s">
        <v>80</v>
      </c>
      <c r="G948" s="53">
        <v>9094</v>
      </c>
    </row>
    <row r="949" spans="1:7">
      <c r="A949" s="53">
        <v>83904077</v>
      </c>
      <c r="B949" s="53">
        <v>52</v>
      </c>
      <c r="C949" s="53" t="s">
        <v>85</v>
      </c>
      <c r="D949" s="53" t="s">
        <v>82</v>
      </c>
      <c r="E949" s="51" t="s">
        <v>90</v>
      </c>
      <c r="F949" s="53" t="s">
        <v>80</v>
      </c>
      <c r="G949" s="53">
        <v>8446</v>
      </c>
    </row>
    <row r="950" spans="1:7">
      <c r="A950" s="53">
        <v>84528077</v>
      </c>
      <c r="B950" s="53">
        <v>30</v>
      </c>
      <c r="C950" s="53" t="s">
        <v>83</v>
      </c>
      <c r="D950" s="53" t="s">
        <v>91</v>
      </c>
      <c r="E950" s="51" t="s">
        <v>81</v>
      </c>
      <c r="F950" s="53" t="s">
        <v>89</v>
      </c>
      <c r="G950" s="53">
        <v>11916</v>
      </c>
    </row>
    <row r="951" spans="1:7">
      <c r="A951" s="53">
        <v>88037704</v>
      </c>
      <c r="B951" s="53">
        <v>39</v>
      </c>
      <c r="C951" s="53" t="s">
        <v>83</v>
      </c>
      <c r="D951" s="53" t="s">
        <v>88</v>
      </c>
      <c r="E951" s="51" t="s">
        <v>81</v>
      </c>
      <c r="F951" s="53" t="s">
        <v>80</v>
      </c>
      <c r="G951" s="53">
        <v>4534</v>
      </c>
    </row>
    <row r="952" spans="1:7">
      <c r="A952" s="53">
        <v>87032033</v>
      </c>
      <c r="B952" s="53">
        <v>31</v>
      </c>
      <c r="C952" s="53" t="s">
        <v>85</v>
      </c>
      <c r="D952" s="53" t="s">
        <v>91</v>
      </c>
      <c r="E952" s="51" t="s">
        <v>81</v>
      </c>
      <c r="F952" s="53" t="s">
        <v>89</v>
      </c>
      <c r="G952" s="53">
        <v>9852</v>
      </c>
    </row>
    <row r="953" spans="1:7">
      <c r="A953" s="53">
        <v>85861460</v>
      </c>
      <c r="B953" s="53">
        <v>41</v>
      </c>
      <c r="C953" s="53" t="s">
        <v>85</v>
      </c>
      <c r="D953" s="53" t="s">
        <v>88</v>
      </c>
      <c r="E953" s="51" t="s">
        <v>84</v>
      </c>
      <c r="F953" s="53" t="s">
        <v>80</v>
      </c>
      <c r="G953" s="53">
        <v>6151</v>
      </c>
    </row>
    <row r="954" spans="1:7">
      <c r="A954" s="53">
        <v>85207559</v>
      </c>
      <c r="B954" s="53">
        <v>31</v>
      </c>
      <c r="C954" s="53" t="s">
        <v>85</v>
      </c>
      <c r="D954" s="53" t="s">
        <v>82</v>
      </c>
      <c r="E954" s="51" t="s">
        <v>81</v>
      </c>
      <c r="F954" s="53" t="s">
        <v>89</v>
      </c>
      <c r="G954" s="53">
        <v>2302</v>
      </c>
    </row>
    <row r="955" spans="1:7">
      <c r="A955" s="53">
        <v>83726941</v>
      </c>
      <c r="B955" s="53">
        <v>44</v>
      </c>
      <c r="C955" s="53" t="s">
        <v>83</v>
      </c>
      <c r="D955" s="53" t="s">
        <v>82</v>
      </c>
      <c r="E955" s="51" t="s">
        <v>84</v>
      </c>
      <c r="F955" s="53" t="s">
        <v>80</v>
      </c>
      <c r="G955" s="53">
        <v>2362</v>
      </c>
    </row>
    <row r="956" spans="1:7">
      <c r="A956" s="53">
        <v>81016852</v>
      </c>
      <c r="B956" s="53">
        <v>42</v>
      </c>
      <c r="C956" s="53" t="s">
        <v>83</v>
      </c>
      <c r="D956" s="53" t="s">
        <v>87</v>
      </c>
      <c r="E956" s="51" t="s">
        <v>84</v>
      </c>
      <c r="F956" s="53" t="s">
        <v>80</v>
      </c>
      <c r="G956" s="53">
        <v>17861</v>
      </c>
    </row>
    <row r="957" spans="1:7">
      <c r="A957" s="53">
        <v>80292919</v>
      </c>
      <c r="B957" s="53">
        <v>55</v>
      </c>
      <c r="C957" s="53" t="s">
        <v>83</v>
      </c>
      <c r="D957" s="53" t="s">
        <v>88</v>
      </c>
      <c r="E957" s="51" t="s">
        <v>90</v>
      </c>
      <c r="F957" s="53" t="s">
        <v>89</v>
      </c>
      <c r="G957" s="53">
        <v>19187</v>
      </c>
    </row>
    <row r="958" spans="1:7">
      <c r="A958" s="53">
        <v>84902161</v>
      </c>
      <c r="B958" s="53">
        <v>56</v>
      </c>
      <c r="C958" s="53" t="s">
        <v>93</v>
      </c>
      <c r="D958" s="53" t="s">
        <v>91</v>
      </c>
      <c r="E958" s="51" t="s">
        <v>90</v>
      </c>
      <c r="F958" s="53" t="s">
        <v>80</v>
      </c>
      <c r="G958" s="53">
        <v>19717</v>
      </c>
    </row>
    <row r="959" spans="1:7">
      <c r="A959" s="53">
        <v>84298293</v>
      </c>
      <c r="B959" s="53">
        <v>40</v>
      </c>
      <c r="C959" s="53" t="s">
        <v>83</v>
      </c>
      <c r="D959" s="53" t="s">
        <v>88</v>
      </c>
      <c r="E959" s="51" t="s">
        <v>84</v>
      </c>
      <c r="F959" s="53" t="s">
        <v>80</v>
      </c>
      <c r="G959" s="53">
        <v>3544</v>
      </c>
    </row>
    <row r="960" spans="1:7">
      <c r="A960" s="53">
        <v>87201379</v>
      </c>
      <c r="B960" s="53">
        <v>34</v>
      </c>
      <c r="C960" s="53" t="s">
        <v>83</v>
      </c>
      <c r="D960" s="53" t="s">
        <v>82</v>
      </c>
      <c r="E960" s="51" t="s">
        <v>81</v>
      </c>
      <c r="F960" s="53" t="s">
        <v>80</v>
      </c>
      <c r="G960" s="53">
        <v>8500</v>
      </c>
    </row>
    <row r="961" spans="1:7">
      <c r="A961" s="53">
        <v>80213646</v>
      </c>
      <c r="B961" s="53">
        <v>40</v>
      </c>
      <c r="C961" s="53" t="s">
        <v>83</v>
      </c>
      <c r="D961" s="53" t="s">
        <v>82</v>
      </c>
      <c r="E961" s="51" t="s">
        <v>84</v>
      </c>
      <c r="F961" s="53" t="s">
        <v>80</v>
      </c>
      <c r="G961" s="53">
        <v>4661</v>
      </c>
    </row>
    <row r="962" spans="1:7">
      <c r="A962" s="53">
        <v>83014223</v>
      </c>
      <c r="B962" s="53">
        <v>41</v>
      </c>
      <c r="C962" s="53" t="s">
        <v>85</v>
      </c>
      <c r="D962" s="53" t="s">
        <v>82</v>
      </c>
      <c r="E962" s="51" t="s">
        <v>84</v>
      </c>
      <c r="F962" s="53" t="s">
        <v>89</v>
      </c>
      <c r="G962" s="53">
        <v>4103</v>
      </c>
    </row>
    <row r="963" spans="1:7">
      <c r="A963" s="53">
        <v>88679902</v>
      </c>
      <c r="B963" s="53">
        <v>35</v>
      </c>
      <c r="C963" s="53" t="s">
        <v>83</v>
      </c>
      <c r="D963" s="53" t="s">
        <v>91</v>
      </c>
      <c r="E963" s="51" t="s">
        <v>81</v>
      </c>
      <c r="F963" s="53" t="s">
        <v>80</v>
      </c>
      <c r="G963" s="53">
        <v>4249</v>
      </c>
    </row>
    <row r="964" spans="1:7">
      <c r="A964" s="53">
        <v>81301265</v>
      </c>
      <c r="B964" s="53">
        <v>51</v>
      </c>
      <c r="C964" s="53" t="s">
        <v>93</v>
      </c>
      <c r="D964" s="53" t="s">
        <v>82</v>
      </c>
      <c r="E964" s="51" t="s">
        <v>90</v>
      </c>
      <c r="F964" s="53" t="s">
        <v>80</v>
      </c>
      <c r="G964" s="53">
        <v>14026</v>
      </c>
    </row>
    <row r="965" spans="1:7">
      <c r="A965" s="53">
        <v>84786094</v>
      </c>
      <c r="B965" s="53">
        <v>38</v>
      </c>
      <c r="C965" s="53" t="s">
        <v>85</v>
      </c>
      <c r="D965" s="53" t="s">
        <v>88</v>
      </c>
      <c r="E965" s="51" t="s">
        <v>81</v>
      </c>
      <c r="F965" s="53" t="s">
        <v>89</v>
      </c>
      <c r="G965" s="53">
        <v>6893</v>
      </c>
    </row>
    <row r="966" spans="1:7">
      <c r="A966" s="53">
        <v>82767312</v>
      </c>
      <c r="B966" s="53">
        <v>34</v>
      </c>
      <c r="C966" s="53" t="s">
        <v>85</v>
      </c>
      <c r="D966" s="53" t="s">
        <v>88</v>
      </c>
      <c r="E966" s="51" t="s">
        <v>81</v>
      </c>
      <c r="F966" s="53" t="s">
        <v>89</v>
      </c>
      <c r="G966" s="53">
        <v>6125</v>
      </c>
    </row>
    <row r="967" spans="1:7">
      <c r="A967" s="53">
        <v>85680193</v>
      </c>
      <c r="B967" s="53">
        <v>25</v>
      </c>
      <c r="C967" s="53" t="s">
        <v>83</v>
      </c>
      <c r="D967" s="53" t="s">
        <v>87</v>
      </c>
      <c r="E967" s="51" t="s">
        <v>86</v>
      </c>
      <c r="F967" s="53" t="s">
        <v>80</v>
      </c>
      <c r="G967" s="53">
        <v>3669</v>
      </c>
    </row>
    <row r="968" spans="1:7">
      <c r="A968" s="53">
        <v>80461921</v>
      </c>
      <c r="B968" s="53">
        <v>58</v>
      </c>
      <c r="C968" s="53" t="s">
        <v>83</v>
      </c>
      <c r="D968" s="53" t="s">
        <v>91</v>
      </c>
      <c r="E968" s="51" t="s">
        <v>90</v>
      </c>
      <c r="F968" s="53" t="s">
        <v>89</v>
      </c>
      <c r="G968" s="53">
        <v>10008</v>
      </c>
    </row>
    <row r="969" spans="1:7">
      <c r="A969" s="53">
        <v>89718004</v>
      </c>
      <c r="B969" s="53">
        <v>40</v>
      </c>
      <c r="C969" s="53" t="s">
        <v>83</v>
      </c>
      <c r="D969" s="53" t="s">
        <v>91</v>
      </c>
      <c r="E969" s="51" t="s">
        <v>84</v>
      </c>
      <c r="F969" s="53" t="s">
        <v>80</v>
      </c>
      <c r="G969" s="53">
        <v>2387</v>
      </c>
    </row>
    <row r="970" spans="1:7">
      <c r="A970" s="53">
        <v>82014220</v>
      </c>
      <c r="B970" s="53">
        <v>36</v>
      </c>
      <c r="C970" s="53" t="s">
        <v>85</v>
      </c>
      <c r="D970" s="53" t="s">
        <v>82</v>
      </c>
      <c r="E970" s="51" t="s">
        <v>81</v>
      </c>
      <c r="F970" s="53" t="s">
        <v>89</v>
      </c>
      <c r="G970" s="53">
        <v>4639</v>
      </c>
    </row>
    <row r="971" spans="1:7">
      <c r="A971" s="53">
        <v>81309054</v>
      </c>
      <c r="B971" s="53">
        <v>48</v>
      </c>
      <c r="C971" s="53" t="s">
        <v>83</v>
      </c>
      <c r="D971" s="53" t="s">
        <v>82</v>
      </c>
      <c r="E971" s="51" t="s">
        <v>84</v>
      </c>
      <c r="F971" s="53" t="s">
        <v>80</v>
      </c>
      <c r="G971" s="53">
        <v>7898</v>
      </c>
    </row>
    <row r="972" spans="1:7">
      <c r="A972" s="53">
        <v>84925766</v>
      </c>
      <c r="B972" s="53">
        <v>27</v>
      </c>
      <c r="C972" s="53" t="s">
        <v>85</v>
      </c>
      <c r="D972" s="53" t="s">
        <v>82</v>
      </c>
      <c r="E972" s="51" t="s">
        <v>86</v>
      </c>
      <c r="F972" s="53" t="s">
        <v>89</v>
      </c>
      <c r="G972" s="53">
        <v>2534</v>
      </c>
    </row>
    <row r="973" spans="1:7">
      <c r="A973" s="53">
        <v>86105044</v>
      </c>
      <c r="B973" s="53">
        <v>51</v>
      </c>
      <c r="C973" s="53" t="s">
        <v>83</v>
      </c>
      <c r="D973" s="53" t="s">
        <v>88</v>
      </c>
      <c r="E973" s="51" t="s">
        <v>90</v>
      </c>
      <c r="F973" s="53" t="s">
        <v>89</v>
      </c>
      <c r="G973" s="53">
        <v>13142</v>
      </c>
    </row>
    <row r="974" spans="1:7">
      <c r="A974" s="53">
        <v>88310410</v>
      </c>
      <c r="B974" s="53">
        <v>24</v>
      </c>
      <c r="C974" s="53" t="s">
        <v>83</v>
      </c>
      <c r="D974" s="53" t="s">
        <v>82</v>
      </c>
      <c r="E974" s="51" t="s">
        <v>95</v>
      </c>
      <c r="F974" s="53" t="s">
        <v>89</v>
      </c>
      <c r="G974" s="53">
        <v>1611</v>
      </c>
    </row>
    <row r="975" spans="1:7">
      <c r="A975" s="53">
        <v>84964737</v>
      </c>
      <c r="B975" s="53">
        <v>35</v>
      </c>
      <c r="C975" s="53" t="s">
        <v>83</v>
      </c>
      <c r="D975" s="53" t="s">
        <v>82</v>
      </c>
      <c r="E975" s="51" t="s">
        <v>81</v>
      </c>
      <c r="F975" s="53" t="s">
        <v>89</v>
      </c>
      <c r="G975" s="53">
        <v>5363</v>
      </c>
    </row>
    <row r="976" spans="1:7">
      <c r="A976" s="53">
        <v>81369818</v>
      </c>
      <c r="B976" s="53">
        <v>27</v>
      </c>
      <c r="C976" s="53" t="s">
        <v>85</v>
      </c>
      <c r="D976" s="53" t="s">
        <v>87</v>
      </c>
      <c r="E976" s="51" t="s">
        <v>86</v>
      </c>
      <c r="F976" s="53" t="s">
        <v>80</v>
      </c>
      <c r="G976" s="53">
        <v>5071</v>
      </c>
    </row>
    <row r="977" spans="1:7">
      <c r="A977" s="53">
        <v>80435362</v>
      </c>
      <c r="B977" s="53">
        <v>55</v>
      </c>
      <c r="C977" s="53" t="s">
        <v>85</v>
      </c>
      <c r="D977" s="53" t="s">
        <v>91</v>
      </c>
      <c r="E977" s="51" t="s">
        <v>90</v>
      </c>
      <c r="F977" s="53" t="s">
        <v>80</v>
      </c>
      <c r="G977" s="53">
        <v>13695</v>
      </c>
    </row>
    <row r="978" spans="1:7">
      <c r="A978" s="53">
        <v>80646270</v>
      </c>
      <c r="B978" s="53">
        <v>56</v>
      </c>
      <c r="C978" s="53" t="s">
        <v>83</v>
      </c>
      <c r="D978" s="53" t="s">
        <v>82</v>
      </c>
      <c r="E978" s="51" t="s">
        <v>90</v>
      </c>
      <c r="F978" s="53" t="s">
        <v>80</v>
      </c>
      <c r="G978" s="53">
        <v>13402</v>
      </c>
    </row>
    <row r="979" spans="1:7">
      <c r="A979" s="53">
        <v>84689692</v>
      </c>
      <c r="B979" s="53">
        <v>34</v>
      </c>
      <c r="C979" s="53" t="s">
        <v>83</v>
      </c>
      <c r="D979" s="53" t="s">
        <v>87</v>
      </c>
      <c r="E979" s="51" t="s">
        <v>81</v>
      </c>
      <c r="F979" s="53" t="s">
        <v>89</v>
      </c>
      <c r="G979" s="53">
        <v>2029</v>
      </c>
    </row>
    <row r="980" spans="1:7">
      <c r="A980" s="53">
        <v>84606021</v>
      </c>
      <c r="B980" s="53">
        <v>40</v>
      </c>
      <c r="C980" s="53" t="s">
        <v>83</v>
      </c>
      <c r="D980" s="53" t="s">
        <v>87</v>
      </c>
      <c r="E980" s="51" t="s">
        <v>84</v>
      </c>
      <c r="F980" s="53" t="s">
        <v>89</v>
      </c>
      <c r="G980" s="53">
        <v>6377</v>
      </c>
    </row>
    <row r="981" spans="1:7">
      <c r="A981" s="53">
        <v>84510412</v>
      </c>
      <c r="B981" s="53">
        <v>34</v>
      </c>
      <c r="C981" s="53" t="s">
        <v>83</v>
      </c>
      <c r="D981" s="53" t="s">
        <v>82</v>
      </c>
      <c r="E981" s="51" t="s">
        <v>81</v>
      </c>
      <c r="F981" s="53" t="s">
        <v>80</v>
      </c>
      <c r="G981" s="53">
        <v>5429</v>
      </c>
    </row>
    <row r="982" spans="1:7">
      <c r="A982" s="53">
        <v>83578945</v>
      </c>
      <c r="B982" s="53">
        <v>31</v>
      </c>
      <c r="C982" s="53" t="s">
        <v>85</v>
      </c>
      <c r="D982" s="53" t="s">
        <v>82</v>
      </c>
      <c r="E982" s="51" t="s">
        <v>81</v>
      </c>
      <c r="F982" s="53" t="s">
        <v>89</v>
      </c>
      <c r="G982" s="53">
        <v>2785</v>
      </c>
    </row>
    <row r="983" spans="1:7">
      <c r="A983" s="53">
        <v>84291775</v>
      </c>
      <c r="B983" s="53">
        <v>35</v>
      </c>
      <c r="C983" s="53" t="s">
        <v>85</v>
      </c>
      <c r="D983" s="53" t="s">
        <v>91</v>
      </c>
      <c r="E983" s="51" t="s">
        <v>81</v>
      </c>
      <c r="F983" s="53" t="s">
        <v>89</v>
      </c>
      <c r="G983" s="53">
        <v>4614</v>
      </c>
    </row>
    <row r="984" spans="1:7">
      <c r="A984" s="53">
        <v>87311912</v>
      </c>
      <c r="B984" s="53">
        <v>38</v>
      </c>
      <c r="C984" s="53" t="s">
        <v>83</v>
      </c>
      <c r="D984" s="53" t="s">
        <v>82</v>
      </c>
      <c r="E984" s="51" t="s">
        <v>81</v>
      </c>
      <c r="F984" s="53" t="s">
        <v>80</v>
      </c>
      <c r="G984" s="53">
        <v>2610</v>
      </c>
    </row>
    <row r="985" spans="1:7">
      <c r="A985" s="53">
        <v>80611879</v>
      </c>
      <c r="B985" s="53">
        <v>34</v>
      </c>
      <c r="C985" s="53" t="s">
        <v>83</v>
      </c>
      <c r="D985" s="53" t="s">
        <v>91</v>
      </c>
      <c r="E985" s="51" t="s">
        <v>81</v>
      </c>
      <c r="F985" s="53" t="s">
        <v>89</v>
      </c>
      <c r="G985" s="53">
        <v>6687</v>
      </c>
    </row>
    <row r="986" spans="1:7">
      <c r="A986" s="53">
        <v>84138739</v>
      </c>
      <c r="B986" s="53">
        <v>28</v>
      </c>
      <c r="C986" s="53" t="s">
        <v>85</v>
      </c>
      <c r="D986" s="53" t="s">
        <v>82</v>
      </c>
      <c r="E986" s="51" t="s">
        <v>86</v>
      </c>
      <c r="F986" s="53" t="s">
        <v>80</v>
      </c>
      <c r="G986" s="53">
        <v>4724</v>
      </c>
    </row>
    <row r="987" spans="1:7">
      <c r="A987" s="53">
        <v>80659279</v>
      </c>
      <c r="B987" s="53">
        <v>31</v>
      </c>
      <c r="C987" s="53" t="s">
        <v>83</v>
      </c>
      <c r="D987" s="53" t="s">
        <v>91</v>
      </c>
      <c r="E987" s="51" t="s">
        <v>81</v>
      </c>
      <c r="F987" s="53" t="s">
        <v>80</v>
      </c>
      <c r="G987" s="53">
        <v>6179</v>
      </c>
    </row>
    <row r="988" spans="1:7">
      <c r="A988" s="53">
        <v>86040314</v>
      </c>
      <c r="B988" s="53">
        <v>39</v>
      </c>
      <c r="C988" s="53" t="s">
        <v>85</v>
      </c>
      <c r="D988" s="53" t="s">
        <v>91</v>
      </c>
      <c r="E988" s="51" t="s">
        <v>81</v>
      </c>
      <c r="F988" s="53" t="s">
        <v>80</v>
      </c>
      <c r="G988" s="53">
        <v>6120</v>
      </c>
    </row>
    <row r="989" spans="1:7">
      <c r="A989" s="53">
        <v>86580367</v>
      </c>
      <c r="B989" s="53">
        <v>51</v>
      </c>
      <c r="C989" s="53" t="s">
        <v>85</v>
      </c>
      <c r="D989" s="53" t="s">
        <v>82</v>
      </c>
      <c r="E989" s="51" t="s">
        <v>90</v>
      </c>
      <c r="F989" s="53" t="s">
        <v>80</v>
      </c>
      <c r="G989" s="53">
        <v>10596</v>
      </c>
    </row>
    <row r="990" spans="1:7">
      <c r="A990" s="53">
        <v>87153011</v>
      </c>
      <c r="B990" s="53">
        <v>41</v>
      </c>
      <c r="C990" s="53" t="s">
        <v>83</v>
      </c>
      <c r="D990" s="53" t="s">
        <v>82</v>
      </c>
      <c r="E990" s="51" t="s">
        <v>84</v>
      </c>
      <c r="F990" s="53" t="s">
        <v>89</v>
      </c>
      <c r="G990" s="53">
        <v>5467</v>
      </c>
    </row>
    <row r="991" spans="1:7">
      <c r="A991" s="53">
        <v>82441477</v>
      </c>
      <c r="B991" s="53">
        <v>37</v>
      </c>
      <c r="C991" s="53" t="s">
        <v>83</v>
      </c>
      <c r="D991" s="53" t="s">
        <v>87</v>
      </c>
      <c r="E991" s="51" t="s">
        <v>81</v>
      </c>
      <c r="F991" s="53" t="s">
        <v>80</v>
      </c>
      <c r="G991" s="53">
        <v>2996</v>
      </c>
    </row>
    <row r="992" spans="1:7">
      <c r="A992" s="53">
        <v>83656326</v>
      </c>
      <c r="B992" s="53">
        <v>33</v>
      </c>
      <c r="C992" s="53" t="s">
        <v>85</v>
      </c>
      <c r="D992" s="53" t="s">
        <v>87</v>
      </c>
      <c r="E992" s="51" t="s">
        <v>81</v>
      </c>
      <c r="F992" s="53" t="s">
        <v>80</v>
      </c>
      <c r="G992" s="53">
        <v>9998</v>
      </c>
    </row>
    <row r="993" spans="1:7">
      <c r="A993" s="53">
        <v>80747812</v>
      </c>
      <c r="B993" s="53">
        <v>32</v>
      </c>
      <c r="C993" s="53" t="s">
        <v>85</v>
      </c>
      <c r="D993" s="53" t="s">
        <v>87</v>
      </c>
      <c r="E993" s="51" t="s">
        <v>81</v>
      </c>
      <c r="F993" s="53" t="s">
        <v>80</v>
      </c>
      <c r="G993" s="53">
        <v>4078</v>
      </c>
    </row>
    <row r="994" spans="1:7">
      <c r="A994" s="53">
        <v>88861394</v>
      </c>
      <c r="B994" s="53">
        <v>39</v>
      </c>
      <c r="C994" s="53" t="s">
        <v>83</v>
      </c>
      <c r="D994" s="53" t="s">
        <v>88</v>
      </c>
      <c r="E994" s="51" t="s">
        <v>81</v>
      </c>
      <c r="F994" s="53" t="s">
        <v>80</v>
      </c>
      <c r="G994" s="53">
        <v>10920</v>
      </c>
    </row>
    <row r="995" spans="1:7">
      <c r="A995" s="53">
        <v>87939360</v>
      </c>
      <c r="B995" s="53">
        <v>25</v>
      </c>
      <c r="C995" s="53" t="s">
        <v>85</v>
      </c>
      <c r="D995" s="53" t="s">
        <v>87</v>
      </c>
      <c r="E995" s="51" t="s">
        <v>86</v>
      </c>
      <c r="F995" s="53" t="s">
        <v>80</v>
      </c>
      <c r="G995" s="53">
        <v>6232</v>
      </c>
    </row>
    <row r="996" spans="1:7">
      <c r="A996" s="53">
        <v>88849749</v>
      </c>
      <c r="B996" s="53">
        <v>52</v>
      </c>
      <c r="C996" s="53" t="s">
        <v>83</v>
      </c>
      <c r="D996" s="53" t="s">
        <v>88</v>
      </c>
      <c r="E996" s="51" t="s">
        <v>90</v>
      </c>
      <c r="F996" s="53" t="s">
        <v>89</v>
      </c>
      <c r="G996" s="53">
        <v>13247</v>
      </c>
    </row>
    <row r="997" spans="1:7">
      <c r="A997" s="53">
        <v>89134081</v>
      </c>
      <c r="B997" s="53">
        <v>43</v>
      </c>
      <c r="C997" s="53" t="s">
        <v>83</v>
      </c>
      <c r="D997" s="53" t="s">
        <v>82</v>
      </c>
      <c r="E997" s="51" t="s">
        <v>84</v>
      </c>
      <c r="F997" s="53" t="s">
        <v>89</v>
      </c>
      <c r="G997" s="53">
        <v>4081</v>
      </c>
    </row>
    <row r="998" spans="1:7">
      <c r="A998" s="53">
        <v>86900488</v>
      </c>
      <c r="B998" s="53">
        <v>27</v>
      </c>
      <c r="C998" s="53" t="s">
        <v>85</v>
      </c>
      <c r="D998" s="53" t="s">
        <v>82</v>
      </c>
      <c r="E998" s="51" t="s">
        <v>86</v>
      </c>
      <c r="F998" s="53" t="s">
        <v>89</v>
      </c>
      <c r="G998" s="53">
        <v>5769</v>
      </c>
    </row>
    <row r="999" spans="1:7">
      <c r="A999" s="53">
        <v>85716407</v>
      </c>
      <c r="B999" s="53">
        <v>27</v>
      </c>
      <c r="C999" s="53" t="s">
        <v>83</v>
      </c>
      <c r="D999" s="53" t="s">
        <v>91</v>
      </c>
      <c r="E999" s="51" t="s">
        <v>86</v>
      </c>
      <c r="F999" s="53" t="s">
        <v>89</v>
      </c>
      <c r="G999" s="53">
        <v>2394</v>
      </c>
    </row>
    <row r="1000" spans="1:7">
      <c r="A1000" s="53">
        <v>80593962</v>
      </c>
      <c r="B1000" s="53">
        <v>26</v>
      </c>
      <c r="C1000" s="53" t="s">
        <v>83</v>
      </c>
      <c r="D1000" s="53" t="s">
        <v>87</v>
      </c>
      <c r="E1000" s="51" t="s">
        <v>86</v>
      </c>
      <c r="F1000" s="53" t="s">
        <v>80</v>
      </c>
      <c r="G1000" s="53">
        <v>3904</v>
      </c>
    </row>
    <row r="1001" spans="1:7">
      <c r="A1001" s="53">
        <v>89209785</v>
      </c>
      <c r="B1001" s="53">
        <v>42</v>
      </c>
      <c r="C1001" s="53" t="s">
        <v>93</v>
      </c>
      <c r="D1001" s="53" t="s">
        <v>82</v>
      </c>
      <c r="E1001" s="51" t="s">
        <v>84</v>
      </c>
      <c r="F1001" s="53" t="s">
        <v>89</v>
      </c>
      <c r="G1001" s="53">
        <v>16799</v>
      </c>
    </row>
    <row r="1002" spans="1:7">
      <c r="A1002" s="53">
        <v>87427546</v>
      </c>
      <c r="B1002" s="53">
        <v>52</v>
      </c>
      <c r="C1002" s="53" t="s">
        <v>83</v>
      </c>
      <c r="D1002" s="53" t="s">
        <v>91</v>
      </c>
      <c r="E1002" s="51" t="s">
        <v>90</v>
      </c>
      <c r="F1002" s="53" t="s">
        <v>89</v>
      </c>
      <c r="G1002" s="53">
        <v>2950</v>
      </c>
    </row>
    <row r="1003" spans="1:7">
      <c r="A1003" s="53">
        <v>83966295</v>
      </c>
      <c r="B1003" s="53">
        <v>37</v>
      </c>
      <c r="C1003" s="53" t="s">
        <v>92</v>
      </c>
      <c r="D1003" s="53" t="s">
        <v>82</v>
      </c>
      <c r="E1003" s="51" t="s">
        <v>81</v>
      </c>
      <c r="F1003" s="53" t="s">
        <v>89</v>
      </c>
      <c r="G1003" s="53">
        <v>3629</v>
      </c>
    </row>
    <row r="1004" spans="1:7">
      <c r="A1004" s="53">
        <v>81360108</v>
      </c>
      <c r="B1004" s="53">
        <v>35</v>
      </c>
      <c r="C1004" s="53" t="s">
        <v>92</v>
      </c>
      <c r="D1004" s="53" t="s">
        <v>88</v>
      </c>
      <c r="E1004" s="51" t="s">
        <v>81</v>
      </c>
      <c r="F1004" s="53" t="s">
        <v>80</v>
      </c>
      <c r="G1004" s="53">
        <v>9362</v>
      </c>
    </row>
    <row r="1005" spans="1:7">
      <c r="A1005" s="53">
        <v>85002931</v>
      </c>
      <c r="B1005" s="53">
        <v>25</v>
      </c>
      <c r="C1005" s="53" t="s">
        <v>92</v>
      </c>
      <c r="D1005" s="53" t="s">
        <v>82</v>
      </c>
      <c r="E1005" s="51" t="s">
        <v>86</v>
      </c>
      <c r="F1005" s="53" t="s">
        <v>80</v>
      </c>
      <c r="G1005" s="53">
        <v>3229</v>
      </c>
    </row>
    <row r="1006" spans="1:7">
      <c r="A1006" s="53">
        <v>84201536</v>
      </c>
      <c r="B1006" s="53">
        <v>26</v>
      </c>
      <c r="C1006" s="53" t="s">
        <v>92</v>
      </c>
      <c r="D1006" s="53" t="s">
        <v>82</v>
      </c>
      <c r="E1006" s="51" t="s">
        <v>86</v>
      </c>
      <c r="F1006" s="53" t="s">
        <v>80</v>
      </c>
      <c r="G1006" s="53">
        <v>3578</v>
      </c>
    </row>
    <row r="1007" spans="1:7">
      <c r="A1007" s="53">
        <v>84016024</v>
      </c>
      <c r="B1007" s="53">
        <v>29</v>
      </c>
      <c r="C1007" s="53" t="s">
        <v>93</v>
      </c>
      <c r="D1007" s="53" t="s">
        <v>82</v>
      </c>
      <c r="E1007" s="51" t="s">
        <v>86</v>
      </c>
      <c r="F1007" s="53" t="s">
        <v>80</v>
      </c>
      <c r="G1007" s="53">
        <v>7988</v>
      </c>
    </row>
    <row r="1008" spans="1:7">
      <c r="A1008" s="53">
        <v>85802431</v>
      </c>
      <c r="B1008" s="53">
        <v>49</v>
      </c>
      <c r="C1008" s="53" t="s">
        <v>92</v>
      </c>
      <c r="D1008" s="53" t="s">
        <v>88</v>
      </c>
      <c r="E1008" s="51" t="s">
        <v>84</v>
      </c>
      <c r="F1008" s="53" t="s">
        <v>80</v>
      </c>
      <c r="G1008" s="53">
        <v>4284</v>
      </c>
    </row>
    <row r="1009" spans="1:7">
      <c r="A1009" s="53">
        <v>83271973</v>
      </c>
      <c r="B1009" s="53">
        <v>29</v>
      </c>
      <c r="C1009" s="53" t="s">
        <v>92</v>
      </c>
      <c r="D1009" s="53" t="s">
        <v>87</v>
      </c>
      <c r="E1009" s="51" t="s">
        <v>86</v>
      </c>
      <c r="F1009" s="53" t="s">
        <v>89</v>
      </c>
      <c r="G1009" s="53">
        <v>7553</v>
      </c>
    </row>
    <row r="1010" spans="1:7">
      <c r="A1010" s="53">
        <v>82836814</v>
      </c>
      <c r="B1010" s="53">
        <v>54</v>
      </c>
      <c r="C1010" s="53" t="s">
        <v>92</v>
      </c>
      <c r="D1010" s="53" t="s">
        <v>82</v>
      </c>
      <c r="E1010" s="51" t="s">
        <v>90</v>
      </c>
      <c r="F1010" s="53" t="s">
        <v>89</v>
      </c>
      <c r="G1010" s="53">
        <v>17328</v>
      </c>
    </row>
    <row r="1011" spans="1:7">
      <c r="A1011" s="53">
        <v>89512450</v>
      </c>
      <c r="B1011" s="53">
        <v>58</v>
      </c>
      <c r="C1011" s="53" t="s">
        <v>92</v>
      </c>
      <c r="D1011" s="53" t="s">
        <v>82</v>
      </c>
      <c r="E1011" s="51" t="s">
        <v>90</v>
      </c>
      <c r="F1011" s="53" t="s">
        <v>89</v>
      </c>
      <c r="G1011" s="53">
        <v>19701</v>
      </c>
    </row>
    <row r="1012" spans="1:7">
      <c r="A1012" s="53">
        <v>85758607</v>
      </c>
      <c r="B1012" s="53">
        <v>55</v>
      </c>
      <c r="C1012" s="53" t="s">
        <v>92</v>
      </c>
      <c r="D1012" s="53" t="s">
        <v>91</v>
      </c>
      <c r="E1012" s="51" t="s">
        <v>90</v>
      </c>
      <c r="F1012" s="53" t="s">
        <v>80</v>
      </c>
      <c r="G1012" s="53">
        <v>14732</v>
      </c>
    </row>
    <row r="1013" spans="1:7">
      <c r="A1013" s="53">
        <v>86762778</v>
      </c>
      <c r="B1013" s="53">
        <v>36</v>
      </c>
      <c r="C1013" s="53" t="s">
        <v>85</v>
      </c>
      <c r="D1013" s="53" t="s">
        <v>91</v>
      </c>
      <c r="E1013" s="51" t="s">
        <v>81</v>
      </c>
      <c r="F1013" s="53" t="s">
        <v>89</v>
      </c>
      <c r="G1013" s="53">
        <v>9278</v>
      </c>
    </row>
    <row r="1014" spans="1:7">
      <c r="A1014" s="53">
        <v>82618133</v>
      </c>
      <c r="B1014" s="53">
        <v>31</v>
      </c>
      <c r="C1014" s="53" t="s">
        <v>85</v>
      </c>
      <c r="D1014" s="53" t="s">
        <v>91</v>
      </c>
      <c r="E1014" s="51" t="s">
        <v>81</v>
      </c>
      <c r="F1014" s="53" t="s">
        <v>89</v>
      </c>
      <c r="G1014" s="53">
        <v>1359</v>
      </c>
    </row>
    <row r="1015" spans="1:7">
      <c r="A1015" s="53">
        <v>83027613</v>
      </c>
      <c r="B1015" s="53">
        <v>30</v>
      </c>
      <c r="C1015" s="53" t="s">
        <v>85</v>
      </c>
      <c r="D1015" s="53" t="s">
        <v>91</v>
      </c>
      <c r="E1015" s="51" t="s">
        <v>81</v>
      </c>
      <c r="F1015" s="53" t="s">
        <v>89</v>
      </c>
      <c r="G1015" s="53">
        <v>4779</v>
      </c>
    </row>
    <row r="1016" spans="1:7">
      <c r="A1016" s="53">
        <v>80267190</v>
      </c>
      <c r="B1016" s="53">
        <v>31</v>
      </c>
      <c r="C1016" s="53" t="s">
        <v>92</v>
      </c>
      <c r="D1016" s="53" t="s">
        <v>94</v>
      </c>
      <c r="E1016" s="51" t="s">
        <v>81</v>
      </c>
      <c r="F1016" s="53" t="s">
        <v>89</v>
      </c>
      <c r="G1016" s="53">
        <v>16422</v>
      </c>
    </row>
    <row r="1017" spans="1:7">
      <c r="A1017" s="53">
        <v>89019785</v>
      </c>
      <c r="B1017" s="53">
        <v>34</v>
      </c>
      <c r="C1017" s="53" t="s">
        <v>92</v>
      </c>
      <c r="D1017" s="53" t="s">
        <v>91</v>
      </c>
      <c r="E1017" s="51" t="s">
        <v>81</v>
      </c>
      <c r="F1017" s="53" t="s">
        <v>80</v>
      </c>
      <c r="G1017" s="53">
        <v>2996</v>
      </c>
    </row>
    <row r="1018" spans="1:7">
      <c r="A1018" s="53">
        <v>83602642</v>
      </c>
      <c r="B1018" s="53">
        <v>31</v>
      </c>
      <c r="C1018" s="53" t="s">
        <v>92</v>
      </c>
      <c r="D1018" s="53" t="s">
        <v>82</v>
      </c>
      <c r="E1018" s="51" t="s">
        <v>81</v>
      </c>
      <c r="F1018" s="53" t="s">
        <v>89</v>
      </c>
      <c r="G1018" s="53">
        <v>1261</v>
      </c>
    </row>
    <row r="1019" spans="1:7">
      <c r="A1019" s="53">
        <v>86499405</v>
      </c>
      <c r="B1019" s="53">
        <v>27</v>
      </c>
      <c r="C1019" s="53" t="s">
        <v>92</v>
      </c>
      <c r="D1019" s="53" t="s">
        <v>87</v>
      </c>
      <c r="E1019" s="51" t="s">
        <v>86</v>
      </c>
      <c r="F1019" s="53" t="s">
        <v>80</v>
      </c>
      <c r="G1019" s="53">
        <v>2099</v>
      </c>
    </row>
    <row r="1020" spans="1:7">
      <c r="A1020" s="53">
        <v>83101687</v>
      </c>
      <c r="B1020" s="53">
        <v>36</v>
      </c>
      <c r="C1020" s="53" t="s">
        <v>92</v>
      </c>
      <c r="D1020" s="53" t="s">
        <v>91</v>
      </c>
      <c r="E1020" s="51" t="s">
        <v>81</v>
      </c>
      <c r="F1020" s="53" t="s">
        <v>80</v>
      </c>
      <c r="G1020" s="53">
        <v>5810</v>
      </c>
    </row>
    <row r="1021" spans="1:7">
      <c r="A1021" s="53">
        <v>88630082</v>
      </c>
      <c r="B1021" s="53">
        <v>36</v>
      </c>
      <c r="C1021" s="53" t="s">
        <v>85</v>
      </c>
      <c r="D1021" s="53" t="s">
        <v>91</v>
      </c>
      <c r="E1021" s="51" t="s">
        <v>81</v>
      </c>
      <c r="F1021" s="53" t="s">
        <v>89</v>
      </c>
      <c r="G1021" s="53">
        <v>5647</v>
      </c>
    </row>
    <row r="1022" spans="1:7">
      <c r="A1022" s="53">
        <v>87984104</v>
      </c>
      <c r="B1022" s="53">
        <v>47</v>
      </c>
      <c r="C1022" s="53" t="s">
        <v>92</v>
      </c>
      <c r="D1022" s="53" t="s">
        <v>82</v>
      </c>
      <c r="E1022" s="51" t="s">
        <v>84</v>
      </c>
      <c r="F1022" s="53" t="s">
        <v>80</v>
      </c>
      <c r="G1022" s="53">
        <v>3420</v>
      </c>
    </row>
    <row r="1023" spans="1:7">
      <c r="A1023" s="53">
        <v>80518687</v>
      </c>
      <c r="B1023" s="53">
        <v>25</v>
      </c>
      <c r="C1023" s="53" t="s">
        <v>85</v>
      </c>
      <c r="D1023" s="53" t="s">
        <v>88</v>
      </c>
      <c r="E1023" s="51" t="s">
        <v>86</v>
      </c>
      <c r="F1023" s="53" t="s">
        <v>80</v>
      </c>
      <c r="G1023" s="53">
        <v>4400</v>
      </c>
    </row>
    <row r="1024" spans="1:7">
      <c r="A1024" s="53">
        <v>86658400</v>
      </c>
      <c r="B1024" s="53">
        <v>37</v>
      </c>
      <c r="C1024" s="53" t="s">
        <v>92</v>
      </c>
      <c r="D1024" s="53" t="s">
        <v>88</v>
      </c>
      <c r="E1024" s="51" t="s">
        <v>81</v>
      </c>
      <c r="F1024" s="53" t="s">
        <v>80</v>
      </c>
      <c r="G1024" s="53">
        <v>3500</v>
      </c>
    </row>
    <row r="1025" spans="1:7">
      <c r="A1025" s="53">
        <v>82466121</v>
      </c>
      <c r="B1025" s="53">
        <v>56</v>
      </c>
      <c r="C1025" s="53" t="s">
        <v>92</v>
      </c>
      <c r="D1025" s="53" t="s">
        <v>88</v>
      </c>
      <c r="E1025" s="51" t="s">
        <v>90</v>
      </c>
      <c r="F1025" s="53" t="s">
        <v>89</v>
      </c>
      <c r="G1025" s="53">
        <v>2066</v>
      </c>
    </row>
    <row r="1026" spans="1:7">
      <c r="A1026" s="53">
        <v>83729342</v>
      </c>
      <c r="B1026" s="53">
        <v>47</v>
      </c>
      <c r="C1026" s="53" t="s">
        <v>92</v>
      </c>
      <c r="D1026" s="53" t="s">
        <v>91</v>
      </c>
      <c r="E1026" s="51" t="s">
        <v>84</v>
      </c>
      <c r="F1026" s="53" t="s">
        <v>89</v>
      </c>
      <c r="G1026" s="53">
        <v>17169</v>
      </c>
    </row>
    <row r="1027" spans="1:7">
      <c r="A1027" s="53">
        <v>86244677</v>
      </c>
      <c r="B1027" s="53">
        <v>24</v>
      </c>
      <c r="C1027" s="53" t="s">
        <v>85</v>
      </c>
      <c r="D1027" s="53" t="s">
        <v>87</v>
      </c>
      <c r="E1027" s="51" t="s">
        <v>86</v>
      </c>
      <c r="F1027" s="53" t="s">
        <v>89</v>
      </c>
      <c r="G1027" s="53">
        <v>4162</v>
      </c>
    </row>
    <row r="1028" spans="1:7">
      <c r="A1028" s="53">
        <v>85629480</v>
      </c>
      <c r="B1028" s="53">
        <v>32</v>
      </c>
      <c r="C1028" s="53" t="s">
        <v>85</v>
      </c>
      <c r="D1028" s="53" t="s">
        <v>94</v>
      </c>
      <c r="E1028" s="51" t="s">
        <v>81</v>
      </c>
      <c r="F1028" s="53" t="s">
        <v>80</v>
      </c>
      <c r="G1028" s="53">
        <v>9204</v>
      </c>
    </row>
    <row r="1029" spans="1:7">
      <c r="A1029" s="53">
        <v>83177149</v>
      </c>
      <c r="B1029" s="53">
        <v>34</v>
      </c>
      <c r="C1029" s="53" t="s">
        <v>92</v>
      </c>
      <c r="D1029" s="53" t="s">
        <v>82</v>
      </c>
      <c r="E1029" s="51" t="s">
        <v>81</v>
      </c>
      <c r="F1029" s="53" t="s">
        <v>89</v>
      </c>
      <c r="G1029" s="53">
        <v>3294</v>
      </c>
    </row>
    <row r="1030" spans="1:7">
      <c r="A1030" s="53">
        <v>88901454</v>
      </c>
      <c r="B1030" s="53">
        <v>41</v>
      </c>
      <c r="C1030" s="53" t="s">
        <v>92</v>
      </c>
      <c r="D1030" s="53" t="s">
        <v>94</v>
      </c>
      <c r="E1030" s="51" t="s">
        <v>84</v>
      </c>
      <c r="F1030" s="53" t="s">
        <v>80</v>
      </c>
      <c r="G1030" s="53">
        <v>2127</v>
      </c>
    </row>
    <row r="1031" spans="1:7">
      <c r="A1031" s="53">
        <v>89839809</v>
      </c>
      <c r="B1031" s="53">
        <v>40</v>
      </c>
      <c r="C1031" s="53" t="s">
        <v>92</v>
      </c>
      <c r="D1031" s="53" t="s">
        <v>91</v>
      </c>
      <c r="E1031" s="51" t="s">
        <v>84</v>
      </c>
      <c r="F1031" s="53" t="s">
        <v>80</v>
      </c>
      <c r="G1031" s="53">
        <v>3975</v>
      </c>
    </row>
    <row r="1032" spans="1:7">
      <c r="A1032" s="53">
        <v>88956047</v>
      </c>
      <c r="B1032" s="53">
        <v>31</v>
      </c>
      <c r="C1032" s="53" t="s">
        <v>85</v>
      </c>
      <c r="D1032" s="53" t="s">
        <v>88</v>
      </c>
      <c r="E1032" s="51" t="s">
        <v>81</v>
      </c>
      <c r="F1032" s="53" t="s">
        <v>80</v>
      </c>
      <c r="G1032" s="53">
        <v>10793</v>
      </c>
    </row>
    <row r="1033" spans="1:7">
      <c r="A1033" s="53">
        <v>85555115</v>
      </c>
      <c r="B1033" s="53">
        <v>46</v>
      </c>
      <c r="C1033" s="53" t="s">
        <v>85</v>
      </c>
      <c r="D1033" s="53" t="s">
        <v>82</v>
      </c>
      <c r="E1033" s="51" t="s">
        <v>84</v>
      </c>
      <c r="F1033" s="53" t="s">
        <v>80</v>
      </c>
      <c r="G1033" s="53">
        <v>10096</v>
      </c>
    </row>
    <row r="1034" spans="1:7">
      <c r="A1034" s="53">
        <v>81259445</v>
      </c>
      <c r="B1034" s="53">
        <v>39</v>
      </c>
      <c r="C1034" s="53" t="s">
        <v>92</v>
      </c>
      <c r="D1034" s="53" t="s">
        <v>82</v>
      </c>
      <c r="E1034" s="51" t="s">
        <v>81</v>
      </c>
      <c r="F1034" s="53" t="s">
        <v>89</v>
      </c>
      <c r="G1034" s="53">
        <v>3646</v>
      </c>
    </row>
    <row r="1035" spans="1:7">
      <c r="A1035" s="53">
        <v>88658854</v>
      </c>
      <c r="B1035" s="53">
        <v>31</v>
      </c>
      <c r="C1035" s="53" t="s">
        <v>92</v>
      </c>
      <c r="D1035" s="53" t="s">
        <v>94</v>
      </c>
      <c r="E1035" s="51" t="s">
        <v>81</v>
      </c>
      <c r="F1035" s="53" t="s">
        <v>89</v>
      </c>
      <c r="G1035" s="53">
        <v>7446</v>
      </c>
    </row>
    <row r="1036" spans="1:7">
      <c r="A1036" s="53">
        <v>86982818</v>
      </c>
      <c r="B1036" s="53">
        <v>45</v>
      </c>
      <c r="C1036" s="53" t="s">
        <v>92</v>
      </c>
      <c r="D1036" s="53" t="s">
        <v>82</v>
      </c>
      <c r="E1036" s="51" t="s">
        <v>84</v>
      </c>
      <c r="F1036" s="53" t="s">
        <v>80</v>
      </c>
      <c r="G1036" s="53">
        <v>10851</v>
      </c>
    </row>
    <row r="1037" spans="1:7">
      <c r="A1037" s="53">
        <v>84655875</v>
      </c>
      <c r="B1037" s="53">
        <v>31</v>
      </c>
      <c r="C1037" s="53" t="s">
        <v>93</v>
      </c>
      <c r="D1037" s="53" t="s">
        <v>88</v>
      </c>
      <c r="E1037" s="51" t="s">
        <v>81</v>
      </c>
      <c r="F1037" s="53" t="s">
        <v>89</v>
      </c>
      <c r="G1037" s="53">
        <v>2109</v>
      </c>
    </row>
    <row r="1038" spans="1:7">
      <c r="A1038" s="53">
        <v>81507600</v>
      </c>
      <c r="B1038" s="53">
        <v>31</v>
      </c>
      <c r="C1038" s="53" t="s">
        <v>92</v>
      </c>
      <c r="D1038" s="53" t="s">
        <v>82</v>
      </c>
      <c r="E1038" s="51" t="s">
        <v>81</v>
      </c>
      <c r="F1038" s="53" t="s">
        <v>80</v>
      </c>
      <c r="G1038" s="53">
        <v>3722</v>
      </c>
    </row>
    <row r="1039" spans="1:7">
      <c r="A1039" s="53">
        <v>83869139</v>
      </c>
      <c r="B1039" s="53">
        <v>45</v>
      </c>
      <c r="C1039" s="53" t="s">
        <v>92</v>
      </c>
      <c r="D1039" s="53" t="s">
        <v>82</v>
      </c>
      <c r="E1039" s="51" t="s">
        <v>84</v>
      </c>
      <c r="F1039" s="53" t="s">
        <v>80</v>
      </c>
      <c r="G1039" s="53">
        <v>9380</v>
      </c>
    </row>
    <row r="1040" spans="1:7">
      <c r="A1040" s="53">
        <v>88169525</v>
      </c>
      <c r="B1040" s="53">
        <v>48</v>
      </c>
      <c r="C1040" s="53" t="s">
        <v>85</v>
      </c>
      <c r="D1040" s="53" t="s">
        <v>82</v>
      </c>
      <c r="E1040" s="51" t="s">
        <v>84</v>
      </c>
      <c r="F1040" s="53" t="s">
        <v>80</v>
      </c>
      <c r="G1040" s="53">
        <v>5486</v>
      </c>
    </row>
    <row r="1041" spans="1:7">
      <c r="A1041" s="53">
        <v>83943346</v>
      </c>
      <c r="B1041" s="53">
        <v>34</v>
      </c>
      <c r="C1041" s="53" t="s">
        <v>93</v>
      </c>
      <c r="D1041" s="53" t="s">
        <v>91</v>
      </c>
      <c r="E1041" s="51" t="s">
        <v>81</v>
      </c>
      <c r="F1041" s="53" t="s">
        <v>89</v>
      </c>
      <c r="G1041" s="53">
        <v>2742</v>
      </c>
    </row>
    <row r="1042" spans="1:7">
      <c r="A1042" s="53">
        <v>81568795</v>
      </c>
      <c r="B1042" s="53">
        <v>40</v>
      </c>
      <c r="C1042" s="53" t="s">
        <v>92</v>
      </c>
      <c r="D1042" s="53" t="s">
        <v>87</v>
      </c>
      <c r="E1042" s="51" t="s">
        <v>84</v>
      </c>
      <c r="F1042" s="53" t="s">
        <v>80</v>
      </c>
      <c r="G1042" s="53">
        <v>13757</v>
      </c>
    </row>
    <row r="1043" spans="1:7">
      <c r="A1043" s="53">
        <v>84556392</v>
      </c>
      <c r="B1043" s="53">
        <v>28</v>
      </c>
      <c r="C1043" s="53" t="s">
        <v>85</v>
      </c>
      <c r="D1043" s="53" t="s">
        <v>82</v>
      </c>
      <c r="E1043" s="51" t="s">
        <v>86</v>
      </c>
      <c r="F1043" s="53" t="s">
        <v>80</v>
      </c>
      <c r="G1043" s="53">
        <v>8463</v>
      </c>
    </row>
    <row r="1044" spans="1:7">
      <c r="A1044" s="53">
        <v>88381990</v>
      </c>
      <c r="B1044" s="53">
        <v>44</v>
      </c>
      <c r="C1044" s="53" t="s">
        <v>92</v>
      </c>
      <c r="D1044" s="53" t="s">
        <v>82</v>
      </c>
      <c r="E1044" s="51" t="s">
        <v>84</v>
      </c>
      <c r="F1044" s="53" t="s">
        <v>80</v>
      </c>
      <c r="G1044" s="53">
        <v>3162</v>
      </c>
    </row>
    <row r="1045" spans="1:7">
      <c r="A1045" s="53">
        <v>89212854</v>
      </c>
      <c r="B1045" s="53">
        <v>53</v>
      </c>
      <c r="C1045" s="53" t="s">
        <v>92</v>
      </c>
      <c r="D1045" s="53" t="s">
        <v>82</v>
      </c>
      <c r="E1045" s="51" t="s">
        <v>90</v>
      </c>
      <c r="F1045" s="53" t="s">
        <v>80</v>
      </c>
      <c r="G1045" s="53">
        <v>16598</v>
      </c>
    </row>
    <row r="1046" spans="1:7">
      <c r="A1046" s="53">
        <v>81361340</v>
      </c>
      <c r="B1046" s="53">
        <v>49</v>
      </c>
      <c r="C1046" s="53" t="s">
        <v>92</v>
      </c>
      <c r="D1046" s="53" t="s">
        <v>91</v>
      </c>
      <c r="E1046" s="51" t="s">
        <v>84</v>
      </c>
      <c r="F1046" s="53" t="s">
        <v>80</v>
      </c>
      <c r="G1046" s="53">
        <v>6651</v>
      </c>
    </row>
    <row r="1047" spans="1:7">
      <c r="A1047" s="53">
        <v>82081072</v>
      </c>
      <c r="B1047" s="53">
        <v>40</v>
      </c>
      <c r="C1047" s="53" t="s">
        <v>92</v>
      </c>
      <c r="D1047" s="53" t="s">
        <v>82</v>
      </c>
      <c r="E1047" s="51" t="s">
        <v>84</v>
      </c>
      <c r="F1047" s="53" t="s">
        <v>80</v>
      </c>
      <c r="G1047" s="53">
        <v>2345</v>
      </c>
    </row>
    <row r="1048" spans="1:7">
      <c r="A1048" s="53">
        <v>81242429</v>
      </c>
      <c r="B1048" s="53">
        <v>44</v>
      </c>
      <c r="C1048" s="53" t="s">
        <v>92</v>
      </c>
      <c r="D1048" s="53" t="s">
        <v>82</v>
      </c>
      <c r="E1048" s="51" t="s">
        <v>84</v>
      </c>
      <c r="F1048" s="53" t="s">
        <v>80</v>
      </c>
      <c r="G1048" s="53">
        <v>3420</v>
      </c>
    </row>
    <row r="1049" spans="1:7">
      <c r="A1049" s="53">
        <v>81834942</v>
      </c>
      <c r="B1049" s="53">
        <v>33</v>
      </c>
      <c r="C1049" s="53" t="s">
        <v>85</v>
      </c>
      <c r="D1049" s="53" t="s">
        <v>82</v>
      </c>
      <c r="E1049" s="51" t="s">
        <v>81</v>
      </c>
      <c r="F1049" s="53" t="s">
        <v>80</v>
      </c>
      <c r="G1049" s="53">
        <v>4373</v>
      </c>
    </row>
    <row r="1050" spans="1:7">
      <c r="A1050" s="53">
        <v>86404810</v>
      </c>
      <c r="B1050" s="53">
        <v>34</v>
      </c>
      <c r="C1050" s="53" t="s">
        <v>85</v>
      </c>
      <c r="D1050" s="53" t="s">
        <v>82</v>
      </c>
      <c r="E1050" s="51" t="s">
        <v>81</v>
      </c>
      <c r="F1050" s="53" t="s">
        <v>80</v>
      </c>
      <c r="G1050" s="53">
        <v>4759</v>
      </c>
    </row>
    <row r="1051" spans="1:7">
      <c r="A1051" s="53">
        <v>86322338</v>
      </c>
      <c r="B1051" s="53">
        <v>30</v>
      </c>
      <c r="C1051" s="53" t="s">
        <v>85</v>
      </c>
      <c r="D1051" s="53" t="s">
        <v>87</v>
      </c>
      <c r="E1051" s="51" t="s">
        <v>81</v>
      </c>
      <c r="F1051" s="53" t="s">
        <v>80</v>
      </c>
      <c r="G1051" s="53">
        <v>5301</v>
      </c>
    </row>
    <row r="1052" spans="1:7">
      <c r="A1052" s="53">
        <v>83359958</v>
      </c>
      <c r="B1052" s="53">
        <v>42</v>
      </c>
      <c r="C1052" s="53" t="s">
        <v>92</v>
      </c>
      <c r="D1052" s="53" t="s">
        <v>88</v>
      </c>
      <c r="E1052" s="51" t="s">
        <v>84</v>
      </c>
      <c r="F1052" s="53" t="s">
        <v>89</v>
      </c>
      <c r="G1052" s="53">
        <v>3673</v>
      </c>
    </row>
    <row r="1053" spans="1:7">
      <c r="A1053" s="53">
        <v>87680092</v>
      </c>
      <c r="B1053" s="53">
        <v>44</v>
      </c>
      <c r="C1053" s="53" t="s">
        <v>85</v>
      </c>
      <c r="D1053" s="53" t="s">
        <v>94</v>
      </c>
      <c r="E1053" s="51" t="s">
        <v>84</v>
      </c>
      <c r="F1053" s="53" t="s">
        <v>89</v>
      </c>
      <c r="G1053" s="53">
        <v>4768</v>
      </c>
    </row>
    <row r="1054" spans="1:7">
      <c r="A1054" s="53">
        <v>82741842</v>
      </c>
      <c r="B1054" s="53">
        <v>30</v>
      </c>
      <c r="C1054" s="53" t="s">
        <v>92</v>
      </c>
      <c r="D1054" s="53" t="s">
        <v>82</v>
      </c>
      <c r="E1054" s="51" t="s">
        <v>81</v>
      </c>
      <c r="F1054" s="53" t="s">
        <v>80</v>
      </c>
      <c r="G1054" s="53">
        <v>1274</v>
      </c>
    </row>
    <row r="1055" spans="1:7">
      <c r="A1055" s="53">
        <v>87171490</v>
      </c>
      <c r="B1055" s="53">
        <v>57</v>
      </c>
      <c r="C1055" s="53" t="s">
        <v>92</v>
      </c>
      <c r="D1055" s="53" t="s">
        <v>88</v>
      </c>
      <c r="E1055" s="51" t="s">
        <v>90</v>
      </c>
      <c r="F1055" s="53" t="s">
        <v>80</v>
      </c>
      <c r="G1055" s="53">
        <v>4900</v>
      </c>
    </row>
    <row r="1056" spans="1:7">
      <c r="A1056" s="53">
        <v>86530812</v>
      </c>
      <c r="B1056" s="53">
        <v>49</v>
      </c>
      <c r="C1056" s="53" t="s">
        <v>92</v>
      </c>
      <c r="D1056" s="53" t="s">
        <v>91</v>
      </c>
      <c r="E1056" s="51" t="s">
        <v>84</v>
      </c>
      <c r="F1056" s="53" t="s">
        <v>80</v>
      </c>
      <c r="G1056" s="53">
        <v>10466</v>
      </c>
    </row>
    <row r="1057" spans="1:7">
      <c r="A1057" s="53">
        <v>87751291</v>
      </c>
      <c r="B1057" s="53">
        <v>34</v>
      </c>
      <c r="C1057" s="53" t="s">
        <v>92</v>
      </c>
      <c r="D1057" s="53" t="s">
        <v>82</v>
      </c>
      <c r="E1057" s="51" t="s">
        <v>81</v>
      </c>
      <c r="F1057" s="53" t="s">
        <v>80</v>
      </c>
      <c r="G1057" s="53">
        <v>17007</v>
      </c>
    </row>
    <row r="1058" spans="1:7">
      <c r="A1058" s="53">
        <v>83835965</v>
      </c>
      <c r="B1058" s="53">
        <v>28</v>
      </c>
      <c r="C1058" s="53" t="s">
        <v>85</v>
      </c>
      <c r="D1058" s="53" t="s">
        <v>82</v>
      </c>
      <c r="E1058" s="51" t="s">
        <v>86</v>
      </c>
      <c r="F1058" s="53" t="s">
        <v>80</v>
      </c>
      <c r="G1058" s="53">
        <v>2909</v>
      </c>
    </row>
    <row r="1059" spans="1:7">
      <c r="A1059" s="53">
        <v>87667378</v>
      </c>
      <c r="B1059" s="53">
        <v>29</v>
      </c>
      <c r="C1059" s="53" t="s">
        <v>85</v>
      </c>
      <c r="D1059" s="53" t="s">
        <v>82</v>
      </c>
      <c r="E1059" s="51" t="s">
        <v>86</v>
      </c>
      <c r="F1059" s="53" t="s">
        <v>89</v>
      </c>
      <c r="G1059" s="53">
        <v>5765</v>
      </c>
    </row>
    <row r="1060" spans="1:7">
      <c r="A1060" s="53">
        <v>89469714</v>
      </c>
      <c r="B1060" s="53">
        <v>34</v>
      </c>
      <c r="C1060" s="53" t="s">
        <v>85</v>
      </c>
      <c r="D1060" s="53" t="s">
        <v>91</v>
      </c>
      <c r="E1060" s="51" t="s">
        <v>81</v>
      </c>
      <c r="F1060" s="53" t="s">
        <v>89</v>
      </c>
      <c r="G1060" s="53">
        <v>4599</v>
      </c>
    </row>
    <row r="1061" spans="1:7">
      <c r="A1061" s="53">
        <v>84774070</v>
      </c>
      <c r="B1061" s="53">
        <v>35</v>
      </c>
      <c r="C1061" s="53" t="s">
        <v>85</v>
      </c>
      <c r="D1061" s="53" t="s">
        <v>87</v>
      </c>
      <c r="E1061" s="51" t="s">
        <v>81</v>
      </c>
      <c r="F1061" s="53" t="s">
        <v>80</v>
      </c>
      <c r="G1061" s="53">
        <v>2404</v>
      </c>
    </row>
    <row r="1062" spans="1:7">
      <c r="A1062" s="53">
        <v>80958386</v>
      </c>
      <c r="B1062" s="53">
        <v>24</v>
      </c>
      <c r="C1062" s="53" t="s">
        <v>92</v>
      </c>
      <c r="D1062" s="53" t="s">
        <v>82</v>
      </c>
      <c r="E1062" s="51" t="s">
        <v>86</v>
      </c>
      <c r="F1062" s="53" t="s">
        <v>80</v>
      </c>
      <c r="G1062" s="53">
        <v>3172</v>
      </c>
    </row>
    <row r="1063" spans="1:7">
      <c r="A1063" s="53">
        <v>82964117</v>
      </c>
      <c r="B1063" s="53">
        <v>24</v>
      </c>
      <c r="C1063" s="53" t="s">
        <v>85</v>
      </c>
      <c r="D1063" s="53" t="s">
        <v>88</v>
      </c>
      <c r="E1063" s="51" t="s">
        <v>86</v>
      </c>
      <c r="F1063" s="53" t="s">
        <v>89</v>
      </c>
      <c r="G1063" s="53">
        <v>2033</v>
      </c>
    </row>
    <row r="1064" spans="1:7">
      <c r="A1064" s="53">
        <v>85679142</v>
      </c>
      <c r="B1064" s="53">
        <v>44</v>
      </c>
      <c r="C1064" s="53" t="s">
        <v>92</v>
      </c>
      <c r="D1064" s="53" t="s">
        <v>87</v>
      </c>
      <c r="E1064" s="51" t="s">
        <v>84</v>
      </c>
      <c r="F1064" s="53" t="s">
        <v>80</v>
      </c>
      <c r="G1064" s="53">
        <v>10209</v>
      </c>
    </row>
    <row r="1065" spans="1:7">
      <c r="A1065" s="53">
        <v>86607362</v>
      </c>
      <c r="B1065" s="53">
        <v>29</v>
      </c>
      <c r="C1065" s="53" t="s">
        <v>85</v>
      </c>
      <c r="D1065" s="53" t="s">
        <v>82</v>
      </c>
      <c r="E1065" s="51" t="s">
        <v>86</v>
      </c>
      <c r="F1065" s="53" t="s">
        <v>80</v>
      </c>
      <c r="G1065" s="53">
        <v>8620</v>
      </c>
    </row>
    <row r="1066" spans="1:7">
      <c r="A1066" s="53">
        <v>81020214</v>
      </c>
      <c r="B1066" s="53">
        <v>30</v>
      </c>
      <c r="C1066" s="53" t="s">
        <v>93</v>
      </c>
      <c r="D1066" s="53" t="s">
        <v>82</v>
      </c>
      <c r="E1066" s="51" t="s">
        <v>81</v>
      </c>
      <c r="F1066" s="53" t="s">
        <v>80</v>
      </c>
      <c r="G1066" s="53">
        <v>2064</v>
      </c>
    </row>
    <row r="1067" spans="1:7">
      <c r="A1067" s="53">
        <v>84537666</v>
      </c>
      <c r="B1067" s="53">
        <v>55</v>
      </c>
      <c r="C1067" s="53" t="s">
        <v>92</v>
      </c>
      <c r="D1067" s="53" t="s">
        <v>91</v>
      </c>
      <c r="E1067" s="51" t="s">
        <v>90</v>
      </c>
      <c r="F1067" s="53" t="s">
        <v>80</v>
      </c>
      <c r="G1067" s="53">
        <v>4035</v>
      </c>
    </row>
    <row r="1068" spans="1:7">
      <c r="A1068" s="53">
        <v>83145764</v>
      </c>
      <c r="B1068" s="53">
        <v>33</v>
      </c>
      <c r="C1068" s="53" t="s">
        <v>92</v>
      </c>
      <c r="D1068" s="53" t="s">
        <v>91</v>
      </c>
      <c r="E1068" s="51" t="s">
        <v>81</v>
      </c>
      <c r="F1068" s="53" t="s">
        <v>89</v>
      </c>
      <c r="G1068" s="53">
        <v>3838</v>
      </c>
    </row>
    <row r="1069" spans="1:7">
      <c r="A1069" s="53">
        <v>87873696</v>
      </c>
      <c r="B1069" s="53">
        <v>47</v>
      </c>
      <c r="C1069" s="53" t="s">
        <v>85</v>
      </c>
      <c r="D1069" s="53" t="s">
        <v>82</v>
      </c>
      <c r="E1069" s="51" t="s">
        <v>84</v>
      </c>
      <c r="F1069" s="53" t="s">
        <v>89</v>
      </c>
      <c r="G1069" s="53">
        <v>4591</v>
      </c>
    </row>
    <row r="1070" spans="1:7">
      <c r="A1070" s="53">
        <v>89785486</v>
      </c>
      <c r="B1070" s="53">
        <v>28</v>
      </c>
      <c r="C1070" s="53" t="s">
        <v>92</v>
      </c>
      <c r="D1070" s="53" t="s">
        <v>88</v>
      </c>
      <c r="E1070" s="51" t="s">
        <v>86</v>
      </c>
      <c r="F1070" s="53" t="s">
        <v>80</v>
      </c>
      <c r="G1070" s="53">
        <v>2561</v>
      </c>
    </row>
    <row r="1071" spans="1:7">
      <c r="A1071" s="53">
        <v>86319924</v>
      </c>
      <c r="B1071" s="53">
        <v>28</v>
      </c>
      <c r="C1071" s="53" t="s">
        <v>92</v>
      </c>
      <c r="D1071" s="53" t="s">
        <v>82</v>
      </c>
      <c r="E1071" s="51" t="s">
        <v>86</v>
      </c>
      <c r="F1071" s="53" t="s">
        <v>80</v>
      </c>
      <c r="G1071" s="53">
        <v>1563</v>
      </c>
    </row>
    <row r="1072" spans="1:7">
      <c r="A1072" s="53">
        <v>84183620</v>
      </c>
      <c r="B1072" s="53">
        <v>28</v>
      </c>
      <c r="C1072" s="53" t="s">
        <v>85</v>
      </c>
      <c r="D1072" s="53" t="s">
        <v>82</v>
      </c>
      <c r="E1072" s="51" t="s">
        <v>86</v>
      </c>
      <c r="F1072" s="53" t="s">
        <v>80</v>
      </c>
      <c r="G1072" s="53">
        <v>4898</v>
      </c>
    </row>
    <row r="1073" spans="1:7">
      <c r="A1073" s="53">
        <v>82555926</v>
      </c>
      <c r="B1073" s="53">
        <v>49</v>
      </c>
      <c r="C1073" s="53" t="s">
        <v>92</v>
      </c>
      <c r="D1073" s="53" t="s">
        <v>88</v>
      </c>
      <c r="E1073" s="51" t="s">
        <v>84</v>
      </c>
      <c r="F1073" s="53" t="s">
        <v>89</v>
      </c>
      <c r="G1073" s="53">
        <v>4789</v>
      </c>
    </row>
    <row r="1074" spans="1:7">
      <c r="A1074" s="53">
        <v>80998266</v>
      </c>
      <c r="B1074" s="53">
        <v>29</v>
      </c>
      <c r="C1074" s="53" t="s">
        <v>92</v>
      </c>
      <c r="D1074" s="53" t="s">
        <v>87</v>
      </c>
      <c r="E1074" s="51" t="s">
        <v>86</v>
      </c>
      <c r="F1074" s="53" t="s">
        <v>89</v>
      </c>
      <c r="G1074" s="53">
        <v>3180</v>
      </c>
    </row>
    <row r="1075" spans="1:7">
      <c r="A1075" s="53">
        <v>88669523</v>
      </c>
      <c r="B1075" s="53">
        <v>28</v>
      </c>
      <c r="C1075" s="53" t="s">
        <v>92</v>
      </c>
      <c r="D1075" s="53" t="s">
        <v>87</v>
      </c>
      <c r="E1075" s="51" t="s">
        <v>86</v>
      </c>
      <c r="F1075" s="53" t="s">
        <v>80</v>
      </c>
      <c r="G1075" s="53">
        <v>6549</v>
      </c>
    </row>
    <row r="1076" spans="1:7">
      <c r="A1076" s="53">
        <v>84788786</v>
      </c>
      <c r="B1076" s="53">
        <v>33</v>
      </c>
      <c r="C1076" s="53" t="s">
        <v>92</v>
      </c>
      <c r="D1076" s="53" t="s">
        <v>94</v>
      </c>
      <c r="E1076" s="51" t="s">
        <v>81</v>
      </c>
      <c r="F1076" s="53" t="s">
        <v>80</v>
      </c>
      <c r="G1076" s="53">
        <v>6388</v>
      </c>
    </row>
    <row r="1077" spans="1:7">
      <c r="A1077" s="53">
        <v>81370990</v>
      </c>
      <c r="B1077" s="53">
        <v>32</v>
      </c>
      <c r="C1077" s="53" t="s">
        <v>92</v>
      </c>
      <c r="D1077" s="53" t="s">
        <v>82</v>
      </c>
      <c r="E1077" s="51" t="s">
        <v>81</v>
      </c>
      <c r="F1077" s="53" t="s">
        <v>80</v>
      </c>
      <c r="G1077" s="53">
        <v>11244</v>
      </c>
    </row>
    <row r="1078" spans="1:7">
      <c r="A1078" s="53">
        <v>89592038</v>
      </c>
      <c r="B1078" s="53">
        <v>54</v>
      </c>
      <c r="C1078" s="53" t="s">
        <v>92</v>
      </c>
      <c r="D1078" s="53" t="s">
        <v>91</v>
      </c>
      <c r="E1078" s="51" t="s">
        <v>90</v>
      </c>
      <c r="F1078" s="53" t="s">
        <v>89</v>
      </c>
      <c r="G1078" s="53">
        <v>16032</v>
      </c>
    </row>
    <row r="1079" spans="1:7">
      <c r="A1079" s="53">
        <v>80699884</v>
      </c>
      <c r="B1079" s="53">
        <v>29</v>
      </c>
      <c r="C1079" s="53" t="s">
        <v>92</v>
      </c>
      <c r="D1079" s="53" t="s">
        <v>91</v>
      </c>
      <c r="E1079" s="51" t="s">
        <v>86</v>
      </c>
      <c r="F1079" s="53" t="s">
        <v>80</v>
      </c>
      <c r="G1079" s="53">
        <v>2362</v>
      </c>
    </row>
    <row r="1080" spans="1:7">
      <c r="A1080" s="53">
        <v>84552020</v>
      </c>
      <c r="B1080" s="53">
        <v>44</v>
      </c>
      <c r="C1080" s="53" t="s">
        <v>92</v>
      </c>
      <c r="D1080" s="53" t="s">
        <v>82</v>
      </c>
      <c r="E1080" s="51" t="s">
        <v>84</v>
      </c>
      <c r="F1080" s="53" t="s">
        <v>80</v>
      </c>
      <c r="G1080" s="53">
        <v>16328</v>
      </c>
    </row>
    <row r="1081" spans="1:7">
      <c r="A1081" s="53">
        <v>86137490</v>
      </c>
      <c r="B1081" s="53">
        <v>39</v>
      </c>
      <c r="C1081" s="53" t="s">
        <v>92</v>
      </c>
      <c r="D1081" s="53" t="s">
        <v>82</v>
      </c>
      <c r="E1081" s="51" t="s">
        <v>81</v>
      </c>
      <c r="F1081" s="53" t="s">
        <v>89</v>
      </c>
      <c r="G1081" s="53">
        <v>8376</v>
      </c>
    </row>
    <row r="1082" spans="1:7">
      <c r="A1082" s="53">
        <v>80235482</v>
      </c>
      <c r="B1082" s="53">
        <v>46</v>
      </c>
      <c r="C1082" s="53" t="s">
        <v>85</v>
      </c>
      <c r="D1082" s="53" t="s">
        <v>82</v>
      </c>
      <c r="E1082" s="51" t="s">
        <v>84</v>
      </c>
      <c r="F1082" s="53" t="s">
        <v>89</v>
      </c>
      <c r="G1082" s="53">
        <v>16606</v>
      </c>
    </row>
    <row r="1083" spans="1:7">
      <c r="A1083" s="53">
        <v>84629868</v>
      </c>
      <c r="B1083" s="53">
        <v>35</v>
      </c>
      <c r="C1083" s="53" t="s">
        <v>92</v>
      </c>
      <c r="D1083" s="53" t="s">
        <v>82</v>
      </c>
      <c r="E1083" s="51" t="s">
        <v>81</v>
      </c>
      <c r="F1083" s="53" t="s">
        <v>89</v>
      </c>
      <c r="G1083" s="53">
        <v>8606</v>
      </c>
    </row>
    <row r="1084" spans="1:7">
      <c r="A1084" s="53">
        <v>80539309</v>
      </c>
      <c r="B1084" s="53">
        <v>23</v>
      </c>
      <c r="C1084" s="53" t="s">
        <v>92</v>
      </c>
      <c r="D1084" s="53" t="s">
        <v>87</v>
      </c>
      <c r="E1084" s="51" t="s">
        <v>86</v>
      </c>
      <c r="F1084" s="53" t="s">
        <v>80</v>
      </c>
      <c r="G1084" s="53">
        <v>2272</v>
      </c>
    </row>
    <row r="1085" spans="1:7">
      <c r="A1085" s="53">
        <v>89422450</v>
      </c>
      <c r="B1085" s="53">
        <v>40</v>
      </c>
      <c r="C1085" s="53" t="s">
        <v>92</v>
      </c>
      <c r="D1085" s="53" t="s">
        <v>91</v>
      </c>
      <c r="E1085" s="51" t="s">
        <v>84</v>
      </c>
      <c r="F1085" s="53" t="s">
        <v>80</v>
      </c>
      <c r="G1085" s="53">
        <v>2018</v>
      </c>
    </row>
    <row r="1086" spans="1:7">
      <c r="A1086" s="53">
        <v>84373404</v>
      </c>
      <c r="B1086" s="53">
        <v>34</v>
      </c>
      <c r="C1086" s="53" t="s">
        <v>85</v>
      </c>
      <c r="D1086" s="53" t="s">
        <v>82</v>
      </c>
      <c r="E1086" s="51" t="s">
        <v>81</v>
      </c>
      <c r="F1086" s="53" t="s">
        <v>80</v>
      </c>
      <c r="G1086" s="53">
        <v>7083</v>
      </c>
    </row>
    <row r="1087" spans="1:7">
      <c r="A1087" s="53">
        <v>83938200</v>
      </c>
      <c r="B1087" s="53">
        <v>31</v>
      </c>
      <c r="C1087" s="53" t="s">
        <v>92</v>
      </c>
      <c r="D1087" s="53" t="s">
        <v>82</v>
      </c>
      <c r="E1087" s="51" t="s">
        <v>81</v>
      </c>
      <c r="F1087" s="53" t="s">
        <v>89</v>
      </c>
      <c r="G1087" s="53">
        <v>4084</v>
      </c>
    </row>
    <row r="1088" spans="1:7">
      <c r="A1088" s="53">
        <v>84879694</v>
      </c>
      <c r="B1088" s="53">
        <v>50</v>
      </c>
      <c r="C1088" s="53" t="s">
        <v>92</v>
      </c>
      <c r="D1088" s="53" t="s">
        <v>94</v>
      </c>
      <c r="E1088" s="51" t="s">
        <v>90</v>
      </c>
      <c r="F1088" s="53" t="s">
        <v>80</v>
      </c>
      <c r="G1088" s="53">
        <v>14411</v>
      </c>
    </row>
    <row r="1089" spans="1:7">
      <c r="A1089" s="53">
        <v>86339147</v>
      </c>
      <c r="B1089" s="53">
        <v>34</v>
      </c>
      <c r="C1089" s="53" t="s">
        <v>85</v>
      </c>
      <c r="D1089" s="53" t="s">
        <v>88</v>
      </c>
      <c r="E1089" s="51" t="s">
        <v>81</v>
      </c>
      <c r="F1089" s="53" t="s">
        <v>80</v>
      </c>
      <c r="G1089" s="53">
        <v>2308</v>
      </c>
    </row>
    <row r="1090" spans="1:7">
      <c r="A1090" s="53">
        <v>89489421</v>
      </c>
      <c r="B1090" s="53">
        <v>42</v>
      </c>
      <c r="C1090" s="53" t="s">
        <v>92</v>
      </c>
      <c r="D1090" s="53" t="s">
        <v>82</v>
      </c>
      <c r="E1090" s="51" t="s">
        <v>84</v>
      </c>
      <c r="F1090" s="53" t="s">
        <v>80</v>
      </c>
      <c r="G1090" s="53">
        <v>4841</v>
      </c>
    </row>
    <row r="1091" spans="1:7">
      <c r="A1091" s="53">
        <v>87539485</v>
      </c>
      <c r="B1091" s="53">
        <v>37</v>
      </c>
      <c r="C1091" s="53" t="s">
        <v>92</v>
      </c>
      <c r="D1091" s="53" t="s">
        <v>82</v>
      </c>
      <c r="E1091" s="51" t="s">
        <v>81</v>
      </c>
      <c r="F1091" s="53" t="s">
        <v>80</v>
      </c>
      <c r="G1091" s="53">
        <v>4285</v>
      </c>
    </row>
    <row r="1092" spans="1:7">
      <c r="A1092" s="53">
        <v>81591004</v>
      </c>
      <c r="B1092" s="53">
        <v>29</v>
      </c>
      <c r="C1092" s="53" t="s">
        <v>92</v>
      </c>
      <c r="D1092" s="53" t="s">
        <v>87</v>
      </c>
      <c r="E1092" s="51" t="s">
        <v>86</v>
      </c>
      <c r="F1092" s="53" t="s">
        <v>89</v>
      </c>
      <c r="G1092" s="53">
        <v>9715</v>
      </c>
    </row>
    <row r="1093" spans="1:7">
      <c r="A1093" s="53">
        <v>84624434</v>
      </c>
      <c r="B1093" s="53">
        <v>33</v>
      </c>
      <c r="C1093" s="53" t="s">
        <v>92</v>
      </c>
      <c r="D1093" s="53" t="s">
        <v>82</v>
      </c>
      <c r="E1093" s="51" t="s">
        <v>81</v>
      </c>
      <c r="F1093" s="53" t="s">
        <v>80</v>
      </c>
      <c r="G1093" s="53">
        <v>4320</v>
      </c>
    </row>
    <row r="1094" spans="1:7">
      <c r="A1094" s="53">
        <v>85311711</v>
      </c>
      <c r="B1094" s="53">
        <v>45</v>
      </c>
      <c r="C1094" s="53" t="s">
        <v>92</v>
      </c>
      <c r="D1094" s="53" t="s">
        <v>82</v>
      </c>
      <c r="E1094" s="51" t="s">
        <v>84</v>
      </c>
      <c r="F1094" s="53" t="s">
        <v>80</v>
      </c>
      <c r="G1094" s="53">
        <v>2132</v>
      </c>
    </row>
    <row r="1095" spans="1:7">
      <c r="A1095" s="53">
        <v>89003522</v>
      </c>
      <c r="B1095" s="53">
        <v>42</v>
      </c>
      <c r="C1095" s="53" t="s">
        <v>92</v>
      </c>
      <c r="D1095" s="53" t="s">
        <v>82</v>
      </c>
      <c r="E1095" s="51" t="s">
        <v>84</v>
      </c>
      <c r="F1095" s="53" t="s">
        <v>80</v>
      </c>
      <c r="G1095" s="53">
        <v>10124</v>
      </c>
    </row>
    <row r="1096" spans="1:7">
      <c r="A1096" s="53">
        <v>89426182</v>
      </c>
      <c r="B1096" s="53">
        <v>40</v>
      </c>
      <c r="C1096" s="53" t="s">
        <v>85</v>
      </c>
      <c r="D1096" s="53" t="s">
        <v>88</v>
      </c>
      <c r="E1096" s="51" t="s">
        <v>84</v>
      </c>
      <c r="F1096" s="53" t="s">
        <v>80</v>
      </c>
      <c r="G1096" s="53">
        <v>5473</v>
      </c>
    </row>
    <row r="1097" spans="1:7">
      <c r="A1097" s="53">
        <v>88578346</v>
      </c>
      <c r="B1097" s="53">
        <v>33</v>
      </c>
      <c r="C1097" s="53" t="s">
        <v>92</v>
      </c>
      <c r="D1097" s="53" t="s">
        <v>91</v>
      </c>
      <c r="E1097" s="51" t="s">
        <v>81</v>
      </c>
      <c r="F1097" s="53" t="s">
        <v>80</v>
      </c>
      <c r="G1097" s="53">
        <v>5207</v>
      </c>
    </row>
    <row r="1098" spans="1:7">
      <c r="A1098" s="53">
        <v>87550554</v>
      </c>
      <c r="B1098" s="53">
        <v>40</v>
      </c>
      <c r="C1098" s="53" t="s">
        <v>93</v>
      </c>
      <c r="D1098" s="53" t="s">
        <v>88</v>
      </c>
      <c r="E1098" s="51" t="s">
        <v>84</v>
      </c>
      <c r="F1098" s="53" t="s">
        <v>80</v>
      </c>
      <c r="G1098" s="53">
        <v>16437</v>
      </c>
    </row>
    <row r="1099" spans="1:7">
      <c r="A1099" s="53">
        <v>84927193</v>
      </c>
      <c r="B1099" s="53">
        <v>24</v>
      </c>
      <c r="C1099" s="53" t="s">
        <v>92</v>
      </c>
      <c r="D1099" s="53" t="s">
        <v>88</v>
      </c>
      <c r="E1099" s="51" t="s">
        <v>86</v>
      </c>
      <c r="F1099" s="53" t="s">
        <v>80</v>
      </c>
      <c r="G1099" s="53">
        <v>2296</v>
      </c>
    </row>
    <row r="1100" spans="1:7">
      <c r="A1100" s="53">
        <v>80673802</v>
      </c>
      <c r="B1100" s="53">
        <v>40</v>
      </c>
      <c r="C1100" s="53" t="s">
        <v>92</v>
      </c>
      <c r="D1100" s="53" t="s">
        <v>88</v>
      </c>
      <c r="E1100" s="51" t="s">
        <v>84</v>
      </c>
      <c r="F1100" s="53" t="s">
        <v>80</v>
      </c>
      <c r="G1100" s="53">
        <v>4069</v>
      </c>
    </row>
    <row r="1101" spans="1:7">
      <c r="A1101" s="53">
        <v>82835258</v>
      </c>
      <c r="B1101" s="53">
        <v>45</v>
      </c>
      <c r="C1101" s="53" t="s">
        <v>92</v>
      </c>
      <c r="D1101" s="53" t="s">
        <v>91</v>
      </c>
      <c r="E1101" s="51" t="s">
        <v>84</v>
      </c>
      <c r="F1101" s="53" t="s">
        <v>80</v>
      </c>
      <c r="G1101" s="53">
        <v>7441</v>
      </c>
    </row>
    <row r="1102" spans="1:7">
      <c r="A1102" s="53">
        <v>81338935</v>
      </c>
      <c r="B1102" s="53">
        <v>35</v>
      </c>
      <c r="C1102" s="53" t="s">
        <v>85</v>
      </c>
      <c r="D1102" s="53" t="s">
        <v>91</v>
      </c>
      <c r="E1102" s="51" t="s">
        <v>81</v>
      </c>
      <c r="F1102" s="53" t="s">
        <v>89</v>
      </c>
      <c r="G1102" s="53">
        <v>2430</v>
      </c>
    </row>
    <row r="1103" spans="1:7">
      <c r="A1103" s="53">
        <v>89149313</v>
      </c>
      <c r="B1103" s="53">
        <v>32</v>
      </c>
      <c r="C1103" s="53" t="s">
        <v>92</v>
      </c>
      <c r="D1103" s="53" t="s">
        <v>88</v>
      </c>
      <c r="E1103" s="51" t="s">
        <v>81</v>
      </c>
      <c r="F1103" s="53" t="s">
        <v>89</v>
      </c>
      <c r="G1103" s="53">
        <v>5878</v>
      </c>
    </row>
    <row r="1104" spans="1:7">
      <c r="A1104" s="53">
        <v>88463785</v>
      </c>
      <c r="B1104" s="53">
        <v>36</v>
      </c>
      <c r="C1104" s="53" t="s">
        <v>85</v>
      </c>
      <c r="D1104" s="53" t="s">
        <v>91</v>
      </c>
      <c r="E1104" s="51" t="s">
        <v>81</v>
      </c>
      <c r="F1104" s="53" t="s">
        <v>80</v>
      </c>
      <c r="G1104" s="53">
        <v>2644</v>
      </c>
    </row>
    <row r="1105" spans="1:7">
      <c r="A1105" s="53">
        <v>87969645</v>
      </c>
      <c r="B1105" s="53">
        <v>48</v>
      </c>
      <c r="C1105" s="53" t="s">
        <v>85</v>
      </c>
      <c r="D1105" s="53" t="s">
        <v>91</v>
      </c>
      <c r="E1105" s="51" t="s">
        <v>84</v>
      </c>
      <c r="F1105" s="53" t="s">
        <v>89</v>
      </c>
      <c r="G1105" s="53">
        <v>6439</v>
      </c>
    </row>
    <row r="1106" spans="1:7">
      <c r="A1106" s="53">
        <v>85621894</v>
      </c>
      <c r="B1106" s="53">
        <v>29</v>
      </c>
      <c r="C1106" s="53" t="s">
        <v>92</v>
      </c>
      <c r="D1106" s="53" t="s">
        <v>82</v>
      </c>
      <c r="E1106" s="51" t="s">
        <v>86</v>
      </c>
      <c r="F1106" s="53" t="s">
        <v>80</v>
      </c>
      <c r="G1106" s="53">
        <v>2451</v>
      </c>
    </row>
    <row r="1107" spans="1:7">
      <c r="A1107" s="53">
        <v>85553262</v>
      </c>
      <c r="B1107" s="53">
        <v>33</v>
      </c>
      <c r="C1107" s="53" t="s">
        <v>85</v>
      </c>
      <c r="D1107" s="53" t="s">
        <v>91</v>
      </c>
      <c r="E1107" s="51" t="s">
        <v>81</v>
      </c>
      <c r="F1107" s="53" t="s">
        <v>80</v>
      </c>
      <c r="G1107" s="53">
        <v>6392</v>
      </c>
    </row>
    <row r="1108" spans="1:7">
      <c r="A1108" s="53">
        <v>80232991</v>
      </c>
      <c r="B1108" s="53">
        <v>30</v>
      </c>
      <c r="C1108" s="53" t="s">
        <v>85</v>
      </c>
      <c r="D1108" s="53" t="s">
        <v>82</v>
      </c>
      <c r="E1108" s="51" t="s">
        <v>81</v>
      </c>
      <c r="F1108" s="53" t="s">
        <v>80</v>
      </c>
      <c r="G1108" s="53">
        <v>9714</v>
      </c>
    </row>
    <row r="1109" spans="1:7">
      <c r="A1109" s="53">
        <v>83736162</v>
      </c>
      <c r="B1109" s="53">
        <v>38</v>
      </c>
      <c r="C1109" s="53" t="s">
        <v>93</v>
      </c>
      <c r="D1109" s="53" t="s">
        <v>91</v>
      </c>
      <c r="E1109" s="51" t="s">
        <v>81</v>
      </c>
      <c r="F1109" s="53" t="s">
        <v>80</v>
      </c>
      <c r="G1109" s="53">
        <v>6077</v>
      </c>
    </row>
    <row r="1110" spans="1:7">
      <c r="A1110" s="53">
        <v>86986723</v>
      </c>
      <c r="B1110" s="53">
        <v>35</v>
      </c>
      <c r="C1110" s="53" t="s">
        <v>92</v>
      </c>
      <c r="D1110" s="53" t="s">
        <v>82</v>
      </c>
      <c r="E1110" s="51" t="s">
        <v>81</v>
      </c>
      <c r="F1110" s="53" t="s">
        <v>80</v>
      </c>
      <c r="G1110" s="53">
        <v>2450</v>
      </c>
    </row>
    <row r="1111" spans="1:7">
      <c r="A1111" s="53">
        <v>89274391</v>
      </c>
      <c r="B1111" s="53">
        <v>30</v>
      </c>
      <c r="C1111" s="53" t="s">
        <v>85</v>
      </c>
      <c r="D1111" s="53" t="s">
        <v>91</v>
      </c>
      <c r="E1111" s="51" t="s">
        <v>81</v>
      </c>
      <c r="F1111" s="53" t="s">
        <v>80</v>
      </c>
      <c r="G1111" s="53">
        <v>9250</v>
      </c>
    </row>
    <row r="1112" spans="1:7">
      <c r="A1112" s="53">
        <v>86452027</v>
      </c>
      <c r="B1112" s="53">
        <v>35</v>
      </c>
      <c r="C1112" s="53" t="s">
        <v>92</v>
      </c>
      <c r="D1112" s="53" t="s">
        <v>82</v>
      </c>
      <c r="E1112" s="51" t="s">
        <v>81</v>
      </c>
      <c r="F1112" s="53" t="s">
        <v>89</v>
      </c>
      <c r="G1112" s="53">
        <v>2074</v>
      </c>
    </row>
    <row r="1113" spans="1:7">
      <c r="A1113" s="53">
        <v>81635002</v>
      </c>
      <c r="B1113" s="53">
        <v>53</v>
      </c>
      <c r="C1113" s="53" t="s">
        <v>92</v>
      </c>
      <c r="D1113" s="53" t="s">
        <v>94</v>
      </c>
      <c r="E1113" s="51" t="s">
        <v>90</v>
      </c>
      <c r="F1113" s="53" t="s">
        <v>89</v>
      </c>
      <c r="G1113" s="53">
        <v>10169</v>
      </c>
    </row>
    <row r="1114" spans="1:7">
      <c r="A1114" s="53">
        <v>88215338</v>
      </c>
      <c r="B1114" s="53">
        <v>38</v>
      </c>
      <c r="C1114" s="53" t="s">
        <v>92</v>
      </c>
      <c r="D1114" s="53" t="s">
        <v>82</v>
      </c>
      <c r="E1114" s="51" t="s">
        <v>81</v>
      </c>
      <c r="F1114" s="53" t="s">
        <v>80</v>
      </c>
      <c r="G1114" s="53">
        <v>4855</v>
      </c>
    </row>
    <row r="1115" spans="1:7">
      <c r="A1115" s="53">
        <v>86068967</v>
      </c>
      <c r="B1115" s="53">
        <v>32</v>
      </c>
      <c r="C1115" s="53" t="s">
        <v>92</v>
      </c>
      <c r="D1115" s="53" t="s">
        <v>91</v>
      </c>
      <c r="E1115" s="51" t="s">
        <v>81</v>
      </c>
      <c r="F1115" s="53" t="s">
        <v>80</v>
      </c>
      <c r="G1115" s="53">
        <v>4087</v>
      </c>
    </row>
    <row r="1116" spans="1:7">
      <c r="A1116" s="53">
        <v>81485814</v>
      </c>
      <c r="B1116" s="53">
        <v>48</v>
      </c>
      <c r="C1116" s="53" t="s">
        <v>92</v>
      </c>
      <c r="D1116" s="53" t="s">
        <v>91</v>
      </c>
      <c r="E1116" s="51" t="s">
        <v>84</v>
      </c>
      <c r="F1116" s="53" t="s">
        <v>89</v>
      </c>
      <c r="G1116" s="53">
        <v>2367</v>
      </c>
    </row>
    <row r="1117" spans="1:7">
      <c r="A1117" s="53">
        <v>82754538</v>
      </c>
      <c r="B1117" s="53">
        <v>34</v>
      </c>
      <c r="C1117" s="53" t="s">
        <v>92</v>
      </c>
      <c r="D1117" s="53" t="s">
        <v>91</v>
      </c>
      <c r="E1117" s="51" t="s">
        <v>81</v>
      </c>
      <c r="F1117" s="53" t="s">
        <v>80</v>
      </c>
      <c r="G1117" s="53">
        <v>2972</v>
      </c>
    </row>
    <row r="1118" spans="1:7">
      <c r="A1118" s="53">
        <v>87764205</v>
      </c>
      <c r="B1118" s="53">
        <v>55</v>
      </c>
      <c r="C1118" s="53" t="s">
        <v>85</v>
      </c>
      <c r="D1118" s="53" t="s">
        <v>94</v>
      </c>
      <c r="E1118" s="51" t="s">
        <v>90</v>
      </c>
      <c r="F1118" s="53" t="s">
        <v>80</v>
      </c>
      <c r="G1118" s="53">
        <v>19586</v>
      </c>
    </row>
    <row r="1119" spans="1:7">
      <c r="A1119" s="53">
        <v>82741154</v>
      </c>
      <c r="B1119" s="53">
        <v>34</v>
      </c>
      <c r="C1119" s="53" t="s">
        <v>92</v>
      </c>
      <c r="D1119" s="53" t="s">
        <v>91</v>
      </c>
      <c r="E1119" s="51" t="s">
        <v>81</v>
      </c>
      <c r="F1119" s="53" t="s">
        <v>80</v>
      </c>
      <c r="G1119" s="53">
        <v>5484</v>
      </c>
    </row>
    <row r="1120" spans="1:7">
      <c r="A1120" s="53">
        <v>82954542</v>
      </c>
      <c r="B1120" s="53">
        <v>26</v>
      </c>
      <c r="C1120" s="53" t="s">
        <v>92</v>
      </c>
      <c r="D1120" s="53" t="s">
        <v>82</v>
      </c>
      <c r="E1120" s="51" t="s">
        <v>86</v>
      </c>
      <c r="F1120" s="53" t="s">
        <v>89</v>
      </c>
      <c r="G1120" s="53">
        <v>2061</v>
      </c>
    </row>
    <row r="1121" spans="1:7">
      <c r="A1121" s="53">
        <v>87021290</v>
      </c>
      <c r="B1121" s="53">
        <v>38</v>
      </c>
      <c r="C1121" s="53" t="s">
        <v>85</v>
      </c>
      <c r="D1121" s="53" t="s">
        <v>82</v>
      </c>
      <c r="E1121" s="51" t="s">
        <v>81</v>
      </c>
      <c r="F1121" s="53" t="s">
        <v>80</v>
      </c>
      <c r="G1121" s="53">
        <v>9924</v>
      </c>
    </row>
    <row r="1122" spans="1:7">
      <c r="A1122" s="53">
        <v>89503251</v>
      </c>
      <c r="B1122" s="53">
        <v>38</v>
      </c>
      <c r="C1122" s="53" t="s">
        <v>85</v>
      </c>
      <c r="D1122" s="53" t="s">
        <v>82</v>
      </c>
      <c r="E1122" s="51" t="s">
        <v>81</v>
      </c>
      <c r="F1122" s="53" t="s">
        <v>89</v>
      </c>
      <c r="G1122" s="53">
        <v>4198</v>
      </c>
    </row>
    <row r="1123" spans="1:7">
      <c r="A1123" s="53">
        <v>89729860</v>
      </c>
      <c r="B1123" s="53">
        <v>36</v>
      </c>
      <c r="C1123" s="53" t="s">
        <v>85</v>
      </c>
      <c r="D1123" s="53" t="s">
        <v>91</v>
      </c>
      <c r="E1123" s="51" t="s">
        <v>81</v>
      </c>
      <c r="F1123" s="53" t="s">
        <v>89</v>
      </c>
      <c r="G1123" s="53">
        <v>6815</v>
      </c>
    </row>
    <row r="1124" spans="1:7">
      <c r="A1124" s="53">
        <v>82719431</v>
      </c>
      <c r="B1124" s="53">
        <v>29</v>
      </c>
      <c r="C1124" s="53" t="s">
        <v>92</v>
      </c>
      <c r="D1124" s="53" t="s">
        <v>87</v>
      </c>
      <c r="E1124" s="51" t="s">
        <v>86</v>
      </c>
      <c r="F1124" s="53" t="s">
        <v>80</v>
      </c>
      <c r="G1124" s="53">
        <v>4723</v>
      </c>
    </row>
    <row r="1125" spans="1:7">
      <c r="A1125" s="53">
        <v>87816905</v>
      </c>
      <c r="B1125" s="53">
        <v>35</v>
      </c>
      <c r="C1125" s="53" t="s">
        <v>92</v>
      </c>
      <c r="D1125" s="53" t="s">
        <v>91</v>
      </c>
      <c r="E1125" s="51" t="s">
        <v>81</v>
      </c>
      <c r="F1125" s="53" t="s">
        <v>89</v>
      </c>
      <c r="G1125" s="53">
        <v>6142</v>
      </c>
    </row>
    <row r="1126" spans="1:7">
      <c r="A1126" s="53">
        <v>80432745</v>
      </c>
      <c r="B1126" s="53">
        <v>39</v>
      </c>
      <c r="C1126" s="53" t="s">
        <v>85</v>
      </c>
      <c r="D1126" s="53" t="s">
        <v>82</v>
      </c>
      <c r="E1126" s="51" t="s">
        <v>81</v>
      </c>
      <c r="F1126" s="53" t="s">
        <v>80</v>
      </c>
      <c r="G1126" s="53">
        <v>8237</v>
      </c>
    </row>
    <row r="1127" spans="1:7">
      <c r="A1127" s="53">
        <v>87626949</v>
      </c>
      <c r="B1127" s="53">
        <v>29</v>
      </c>
      <c r="C1127" s="53" t="s">
        <v>92</v>
      </c>
      <c r="D1127" s="53" t="s">
        <v>87</v>
      </c>
      <c r="E1127" s="51" t="s">
        <v>86</v>
      </c>
      <c r="F1127" s="53" t="s">
        <v>80</v>
      </c>
      <c r="G1127" s="53">
        <v>8853</v>
      </c>
    </row>
    <row r="1128" spans="1:7">
      <c r="A1128" s="53">
        <v>83428958</v>
      </c>
      <c r="B1128" s="53">
        <v>50</v>
      </c>
      <c r="C1128" s="53" t="s">
        <v>85</v>
      </c>
      <c r="D1128" s="53" t="s">
        <v>82</v>
      </c>
      <c r="E1128" s="51" t="s">
        <v>90</v>
      </c>
      <c r="F1128" s="53" t="s">
        <v>80</v>
      </c>
      <c r="G1128" s="53">
        <v>19331</v>
      </c>
    </row>
    <row r="1129" spans="1:7">
      <c r="A1129" s="53">
        <v>87472176</v>
      </c>
      <c r="B1129" s="53">
        <v>23</v>
      </c>
      <c r="C1129" s="53" t="s">
        <v>92</v>
      </c>
      <c r="D1129" s="53" t="s">
        <v>82</v>
      </c>
      <c r="E1129" s="51" t="s">
        <v>86</v>
      </c>
      <c r="F1129" s="53" t="s">
        <v>80</v>
      </c>
      <c r="G1129" s="53">
        <v>2073</v>
      </c>
    </row>
    <row r="1130" spans="1:7">
      <c r="A1130" s="53">
        <v>82700410</v>
      </c>
      <c r="B1130" s="53">
        <v>36</v>
      </c>
      <c r="C1130" s="53" t="s">
        <v>92</v>
      </c>
      <c r="D1130" s="53" t="s">
        <v>91</v>
      </c>
      <c r="E1130" s="51" t="s">
        <v>81</v>
      </c>
      <c r="F1130" s="53" t="s">
        <v>80</v>
      </c>
      <c r="G1130" s="53">
        <v>5562</v>
      </c>
    </row>
    <row r="1131" spans="1:7">
      <c r="A1131" s="53">
        <v>83921210</v>
      </c>
      <c r="B1131" s="53">
        <v>42</v>
      </c>
      <c r="C1131" s="53" t="s">
        <v>92</v>
      </c>
      <c r="D1131" s="53" t="s">
        <v>88</v>
      </c>
      <c r="E1131" s="51" t="s">
        <v>84</v>
      </c>
      <c r="F1131" s="53" t="s">
        <v>80</v>
      </c>
      <c r="G1131" s="53">
        <v>19613</v>
      </c>
    </row>
    <row r="1132" spans="1:7">
      <c r="A1132" s="53">
        <v>86308633</v>
      </c>
      <c r="B1132" s="53">
        <v>35</v>
      </c>
      <c r="C1132" s="53" t="s">
        <v>92</v>
      </c>
      <c r="D1132" s="53" t="s">
        <v>82</v>
      </c>
      <c r="E1132" s="51" t="s">
        <v>81</v>
      </c>
      <c r="F1132" s="53" t="s">
        <v>80</v>
      </c>
      <c r="G1132" s="53">
        <v>3407</v>
      </c>
    </row>
    <row r="1133" spans="1:7">
      <c r="A1133" s="53">
        <v>81616406</v>
      </c>
      <c r="B1133" s="53">
        <v>34</v>
      </c>
      <c r="C1133" s="53" t="s">
        <v>92</v>
      </c>
      <c r="D1133" s="53" t="s">
        <v>91</v>
      </c>
      <c r="E1133" s="51" t="s">
        <v>81</v>
      </c>
      <c r="F1133" s="53" t="s">
        <v>80</v>
      </c>
      <c r="G1133" s="53">
        <v>5063</v>
      </c>
    </row>
    <row r="1134" spans="1:7">
      <c r="A1134" s="53">
        <v>89787517</v>
      </c>
      <c r="B1134" s="53">
        <v>40</v>
      </c>
      <c r="C1134" s="53" t="s">
        <v>85</v>
      </c>
      <c r="D1134" s="53" t="s">
        <v>88</v>
      </c>
      <c r="E1134" s="51" t="s">
        <v>84</v>
      </c>
      <c r="F1134" s="53" t="s">
        <v>89</v>
      </c>
      <c r="G1134" s="53">
        <v>4639</v>
      </c>
    </row>
    <row r="1135" spans="1:7">
      <c r="A1135" s="53">
        <v>88515374</v>
      </c>
      <c r="B1135" s="53">
        <v>43</v>
      </c>
      <c r="C1135" s="53" t="s">
        <v>92</v>
      </c>
      <c r="D1135" s="53" t="s">
        <v>82</v>
      </c>
      <c r="E1135" s="51" t="s">
        <v>84</v>
      </c>
      <c r="F1135" s="53" t="s">
        <v>80</v>
      </c>
      <c r="G1135" s="53">
        <v>4876</v>
      </c>
    </row>
    <row r="1136" spans="1:7">
      <c r="A1136" s="53">
        <v>87467622</v>
      </c>
      <c r="B1136" s="53">
        <v>35</v>
      </c>
      <c r="C1136" s="53" t="s">
        <v>92</v>
      </c>
      <c r="D1136" s="53" t="s">
        <v>88</v>
      </c>
      <c r="E1136" s="51" t="s">
        <v>81</v>
      </c>
      <c r="F1136" s="53" t="s">
        <v>80</v>
      </c>
      <c r="G1136" s="53">
        <v>2690</v>
      </c>
    </row>
    <row r="1137" spans="1:7">
      <c r="A1137" s="53">
        <v>80645029</v>
      </c>
      <c r="B1137" s="53">
        <v>46</v>
      </c>
      <c r="C1137" s="53" t="s">
        <v>85</v>
      </c>
      <c r="D1137" s="53" t="s">
        <v>91</v>
      </c>
      <c r="E1137" s="51" t="s">
        <v>84</v>
      </c>
      <c r="F1137" s="53" t="s">
        <v>80</v>
      </c>
      <c r="G1137" s="53">
        <v>17567</v>
      </c>
    </row>
    <row r="1138" spans="1:7">
      <c r="A1138" s="53">
        <v>80792558</v>
      </c>
      <c r="B1138" s="53">
        <v>28</v>
      </c>
      <c r="C1138" s="53" t="s">
        <v>92</v>
      </c>
      <c r="D1138" s="53" t="s">
        <v>82</v>
      </c>
      <c r="E1138" s="51" t="s">
        <v>86</v>
      </c>
      <c r="F1138" s="53" t="s">
        <v>80</v>
      </c>
      <c r="G1138" s="53">
        <v>2408</v>
      </c>
    </row>
    <row r="1139" spans="1:7">
      <c r="A1139" s="53">
        <v>88937949</v>
      </c>
      <c r="B1139" s="53">
        <v>22</v>
      </c>
      <c r="C1139" s="53" t="s">
        <v>92</v>
      </c>
      <c r="D1139" s="53" t="s">
        <v>88</v>
      </c>
      <c r="E1139" s="51" t="s">
        <v>86</v>
      </c>
      <c r="F1139" s="53" t="s">
        <v>89</v>
      </c>
      <c r="G1139" s="53">
        <v>2814</v>
      </c>
    </row>
    <row r="1140" spans="1:7">
      <c r="A1140" s="53">
        <v>83642249</v>
      </c>
      <c r="B1140" s="53">
        <v>50</v>
      </c>
      <c r="C1140" s="53" t="s">
        <v>92</v>
      </c>
      <c r="D1140" s="53" t="s">
        <v>94</v>
      </c>
      <c r="E1140" s="51" t="s">
        <v>90</v>
      </c>
      <c r="F1140" s="53" t="s">
        <v>80</v>
      </c>
      <c r="G1140" s="53">
        <v>11245</v>
      </c>
    </row>
    <row r="1141" spans="1:7">
      <c r="A1141" s="53">
        <v>87639489</v>
      </c>
      <c r="B1141" s="53">
        <v>32</v>
      </c>
      <c r="C1141" s="53" t="s">
        <v>92</v>
      </c>
      <c r="D1141" s="53" t="s">
        <v>91</v>
      </c>
      <c r="E1141" s="51" t="s">
        <v>81</v>
      </c>
      <c r="F1141" s="53" t="s">
        <v>89</v>
      </c>
      <c r="G1141" s="53">
        <v>3312</v>
      </c>
    </row>
    <row r="1142" spans="1:7">
      <c r="A1142" s="53">
        <v>80623582</v>
      </c>
      <c r="B1142" s="53">
        <v>44</v>
      </c>
      <c r="C1142" s="53" t="s">
        <v>92</v>
      </c>
      <c r="D1142" s="53" t="s">
        <v>82</v>
      </c>
      <c r="E1142" s="51" t="s">
        <v>84</v>
      </c>
      <c r="F1142" s="53" t="s">
        <v>89</v>
      </c>
      <c r="G1142" s="53">
        <v>19049</v>
      </c>
    </row>
    <row r="1143" spans="1:7">
      <c r="A1143" s="53">
        <v>85016318</v>
      </c>
      <c r="B1143" s="53">
        <v>30</v>
      </c>
      <c r="C1143" s="53" t="s">
        <v>92</v>
      </c>
      <c r="D1143" s="53" t="s">
        <v>82</v>
      </c>
      <c r="E1143" s="51" t="s">
        <v>81</v>
      </c>
      <c r="F1143" s="53" t="s">
        <v>80</v>
      </c>
      <c r="G1143" s="53">
        <v>2141</v>
      </c>
    </row>
    <row r="1144" spans="1:7">
      <c r="A1144" s="53">
        <v>87043174</v>
      </c>
      <c r="B1144" s="53">
        <v>45</v>
      </c>
      <c r="C1144" s="53" t="s">
        <v>92</v>
      </c>
      <c r="D1144" s="53" t="s">
        <v>94</v>
      </c>
      <c r="E1144" s="51" t="s">
        <v>84</v>
      </c>
      <c r="F1144" s="53" t="s">
        <v>89</v>
      </c>
      <c r="G1144" s="53">
        <v>5769</v>
      </c>
    </row>
    <row r="1145" spans="1:7">
      <c r="A1145" s="53">
        <v>89135791</v>
      </c>
      <c r="B1145" s="53">
        <v>45</v>
      </c>
      <c r="C1145" s="53" t="s">
        <v>85</v>
      </c>
      <c r="D1145" s="53" t="s">
        <v>82</v>
      </c>
      <c r="E1145" s="51" t="s">
        <v>84</v>
      </c>
      <c r="F1145" s="53" t="s">
        <v>80</v>
      </c>
      <c r="G1145" s="53">
        <v>4385</v>
      </c>
    </row>
    <row r="1146" spans="1:7">
      <c r="A1146" s="53">
        <v>89586169</v>
      </c>
      <c r="B1146" s="53">
        <v>31</v>
      </c>
      <c r="C1146" s="53" t="s">
        <v>85</v>
      </c>
      <c r="D1146" s="53" t="s">
        <v>91</v>
      </c>
      <c r="E1146" s="51" t="s">
        <v>81</v>
      </c>
      <c r="F1146" s="53" t="s">
        <v>80</v>
      </c>
      <c r="G1146" s="53">
        <v>5332</v>
      </c>
    </row>
    <row r="1147" spans="1:7">
      <c r="A1147" s="53">
        <v>88241016</v>
      </c>
      <c r="B1147" s="53">
        <v>36</v>
      </c>
      <c r="C1147" s="53" t="s">
        <v>92</v>
      </c>
      <c r="D1147" s="53" t="s">
        <v>91</v>
      </c>
      <c r="E1147" s="51" t="s">
        <v>81</v>
      </c>
      <c r="F1147" s="53" t="s">
        <v>89</v>
      </c>
      <c r="G1147" s="53">
        <v>4663</v>
      </c>
    </row>
    <row r="1148" spans="1:7">
      <c r="A1148" s="53">
        <v>87215411</v>
      </c>
      <c r="B1148" s="53">
        <v>34</v>
      </c>
      <c r="C1148" s="53" t="s">
        <v>92</v>
      </c>
      <c r="D1148" s="53" t="s">
        <v>91</v>
      </c>
      <c r="E1148" s="51" t="s">
        <v>81</v>
      </c>
      <c r="F1148" s="53" t="s">
        <v>80</v>
      </c>
      <c r="G1148" s="53">
        <v>4724</v>
      </c>
    </row>
    <row r="1149" spans="1:7">
      <c r="A1149" s="53">
        <v>86407989</v>
      </c>
      <c r="B1149" s="53">
        <v>49</v>
      </c>
      <c r="C1149" s="53" t="s">
        <v>92</v>
      </c>
      <c r="D1149" s="53" t="s">
        <v>91</v>
      </c>
      <c r="E1149" s="51" t="s">
        <v>84</v>
      </c>
      <c r="F1149" s="53" t="s">
        <v>89</v>
      </c>
      <c r="G1149" s="53">
        <v>3211</v>
      </c>
    </row>
    <row r="1150" spans="1:7">
      <c r="A1150" s="53">
        <v>86481312</v>
      </c>
      <c r="B1150" s="53">
        <v>39</v>
      </c>
      <c r="C1150" s="53" t="s">
        <v>92</v>
      </c>
      <c r="D1150" s="53" t="s">
        <v>94</v>
      </c>
      <c r="E1150" s="51" t="s">
        <v>81</v>
      </c>
      <c r="F1150" s="53" t="s">
        <v>80</v>
      </c>
      <c r="G1150" s="53">
        <v>5377</v>
      </c>
    </row>
    <row r="1151" spans="1:7">
      <c r="A1151" s="53">
        <v>88947922</v>
      </c>
      <c r="B1151" s="53">
        <v>27</v>
      </c>
      <c r="C1151" s="53" t="s">
        <v>92</v>
      </c>
      <c r="D1151" s="53" t="s">
        <v>82</v>
      </c>
      <c r="E1151" s="51" t="s">
        <v>86</v>
      </c>
      <c r="F1151" s="53" t="s">
        <v>80</v>
      </c>
      <c r="G1151" s="53">
        <v>4066</v>
      </c>
    </row>
    <row r="1152" spans="1:7">
      <c r="A1152" s="53">
        <v>84498748</v>
      </c>
      <c r="B1152" s="53">
        <v>35</v>
      </c>
      <c r="C1152" s="53" t="s">
        <v>92</v>
      </c>
      <c r="D1152" s="53" t="s">
        <v>94</v>
      </c>
      <c r="E1152" s="51" t="s">
        <v>81</v>
      </c>
      <c r="F1152" s="53" t="s">
        <v>80</v>
      </c>
      <c r="G1152" s="53">
        <v>5208</v>
      </c>
    </row>
    <row r="1153" spans="1:7">
      <c r="A1153" s="53">
        <v>88227863</v>
      </c>
      <c r="B1153" s="53">
        <v>28</v>
      </c>
      <c r="C1153" s="53" t="s">
        <v>92</v>
      </c>
      <c r="D1153" s="53" t="s">
        <v>82</v>
      </c>
      <c r="E1153" s="51" t="s">
        <v>86</v>
      </c>
      <c r="F1153" s="53" t="s">
        <v>89</v>
      </c>
      <c r="G1153" s="53">
        <v>4877</v>
      </c>
    </row>
    <row r="1154" spans="1:7">
      <c r="A1154" s="53">
        <v>89080221</v>
      </c>
      <c r="B1154" s="53">
        <v>21</v>
      </c>
      <c r="C1154" s="53" t="s">
        <v>92</v>
      </c>
      <c r="D1154" s="53" t="s">
        <v>87</v>
      </c>
      <c r="E1154" s="51" t="s">
        <v>86</v>
      </c>
      <c r="F1154" s="53" t="s">
        <v>80</v>
      </c>
      <c r="G1154" s="53">
        <v>3117</v>
      </c>
    </row>
    <row r="1155" spans="1:7">
      <c r="A1155" s="53">
        <v>83851231</v>
      </c>
      <c r="B1155" s="53">
        <v>23</v>
      </c>
      <c r="C1155" s="53" t="s">
        <v>85</v>
      </c>
      <c r="D1155" s="53" t="s">
        <v>88</v>
      </c>
      <c r="E1155" s="51" t="s">
        <v>95</v>
      </c>
      <c r="F1155" s="53" t="s">
        <v>89</v>
      </c>
      <c r="G1155" s="53">
        <v>1569</v>
      </c>
    </row>
    <row r="1156" spans="1:7">
      <c r="A1156" s="53">
        <v>87935549</v>
      </c>
      <c r="B1156" s="53">
        <v>47</v>
      </c>
      <c r="C1156" s="53" t="s">
        <v>93</v>
      </c>
      <c r="D1156" s="53" t="s">
        <v>91</v>
      </c>
      <c r="E1156" s="51" t="s">
        <v>84</v>
      </c>
      <c r="F1156" s="53" t="s">
        <v>89</v>
      </c>
      <c r="G1156" s="53">
        <v>19658</v>
      </c>
    </row>
    <row r="1157" spans="1:7">
      <c r="A1157" s="53">
        <v>82901934</v>
      </c>
      <c r="B1157" s="53">
        <v>39</v>
      </c>
      <c r="C1157" s="53" t="s">
        <v>92</v>
      </c>
      <c r="D1157" s="53" t="s">
        <v>88</v>
      </c>
      <c r="E1157" s="51" t="s">
        <v>81</v>
      </c>
      <c r="F1157" s="53" t="s">
        <v>80</v>
      </c>
      <c r="G1157" s="53">
        <v>3069</v>
      </c>
    </row>
    <row r="1158" spans="1:7">
      <c r="A1158" s="53">
        <v>80084908</v>
      </c>
      <c r="B1158" s="53">
        <v>40</v>
      </c>
      <c r="C1158" s="53" t="s">
        <v>92</v>
      </c>
      <c r="D1158" s="53" t="s">
        <v>82</v>
      </c>
      <c r="E1158" s="51" t="s">
        <v>84</v>
      </c>
      <c r="F1158" s="53" t="s">
        <v>89</v>
      </c>
      <c r="G1158" s="53">
        <v>10435</v>
      </c>
    </row>
    <row r="1159" spans="1:7">
      <c r="A1159" s="53">
        <v>88639994</v>
      </c>
      <c r="B1159" s="53">
        <v>35</v>
      </c>
      <c r="C1159" s="53" t="s">
        <v>92</v>
      </c>
      <c r="D1159" s="53" t="s">
        <v>91</v>
      </c>
      <c r="E1159" s="51" t="s">
        <v>81</v>
      </c>
      <c r="F1159" s="53" t="s">
        <v>89</v>
      </c>
      <c r="G1159" s="53">
        <v>4148</v>
      </c>
    </row>
    <row r="1160" spans="1:7">
      <c r="A1160" s="53">
        <v>85049494</v>
      </c>
      <c r="B1160" s="53">
        <v>37</v>
      </c>
      <c r="C1160" s="53" t="s">
        <v>92</v>
      </c>
      <c r="D1160" s="53" t="s">
        <v>82</v>
      </c>
      <c r="E1160" s="51" t="s">
        <v>81</v>
      </c>
      <c r="F1160" s="53" t="s">
        <v>80</v>
      </c>
      <c r="G1160" s="53">
        <v>5768</v>
      </c>
    </row>
    <row r="1161" spans="1:7">
      <c r="A1161" s="53">
        <v>87274752</v>
      </c>
      <c r="B1161" s="53">
        <v>39</v>
      </c>
      <c r="C1161" s="53" t="s">
        <v>92</v>
      </c>
      <c r="D1161" s="53" t="s">
        <v>82</v>
      </c>
      <c r="E1161" s="51" t="s">
        <v>81</v>
      </c>
      <c r="F1161" s="53" t="s">
        <v>89</v>
      </c>
      <c r="G1161" s="53">
        <v>5042</v>
      </c>
    </row>
    <row r="1162" spans="1:7">
      <c r="A1162" s="53">
        <v>83569973</v>
      </c>
      <c r="B1162" s="53">
        <v>45</v>
      </c>
      <c r="C1162" s="53" t="s">
        <v>92</v>
      </c>
      <c r="D1162" s="53" t="s">
        <v>88</v>
      </c>
      <c r="E1162" s="51" t="s">
        <v>84</v>
      </c>
      <c r="F1162" s="53" t="s">
        <v>89</v>
      </c>
      <c r="G1162" s="53">
        <v>5770</v>
      </c>
    </row>
    <row r="1163" spans="1:7">
      <c r="A1163" s="53">
        <v>84166509</v>
      </c>
      <c r="B1163" s="53">
        <v>38</v>
      </c>
      <c r="C1163" s="53" t="s">
        <v>92</v>
      </c>
      <c r="D1163" s="53" t="s">
        <v>88</v>
      </c>
      <c r="E1163" s="51" t="s">
        <v>81</v>
      </c>
      <c r="F1163" s="53" t="s">
        <v>89</v>
      </c>
      <c r="G1163" s="53">
        <v>7756</v>
      </c>
    </row>
    <row r="1164" spans="1:7">
      <c r="A1164" s="53">
        <v>88443514</v>
      </c>
      <c r="B1164" s="53">
        <v>35</v>
      </c>
      <c r="C1164" s="53" t="s">
        <v>85</v>
      </c>
      <c r="D1164" s="53" t="s">
        <v>82</v>
      </c>
      <c r="E1164" s="51" t="s">
        <v>81</v>
      </c>
      <c r="F1164" s="53" t="s">
        <v>80</v>
      </c>
      <c r="G1164" s="53">
        <v>10306</v>
      </c>
    </row>
    <row r="1165" spans="1:7">
      <c r="A1165" s="53">
        <v>81858793</v>
      </c>
      <c r="B1165" s="53">
        <v>37</v>
      </c>
      <c r="C1165" s="53" t="s">
        <v>92</v>
      </c>
      <c r="D1165" s="53" t="s">
        <v>82</v>
      </c>
      <c r="E1165" s="51" t="s">
        <v>81</v>
      </c>
      <c r="F1165" s="53" t="s">
        <v>89</v>
      </c>
      <c r="G1165" s="53">
        <v>3936</v>
      </c>
    </row>
    <row r="1166" spans="1:7">
      <c r="A1166" s="53">
        <v>81174680</v>
      </c>
      <c r="B1166" s="53">
        <v>40</v>
      </c>
      <c r="C1166" s="53" t="s">
        <v>92</v>
      </c>
      <c r="D1166" s="53" t="s">
        <v>82</v>
      </c>
      <c r="E1166" s="51" t="s">
        <v>84</v>
      </c>
      <c r="F1166" s="53" t="s">
        <v>89</v>
      </c>
      <c r="G1166" s="53">
        <v>7945</v>
      </c>
    </row>
    <row r="1167" spans="1:7">
      <c r="A1167" s="53">
        <v>83650545</v>
      </c>
      <c r="B1167" s="53">
        <v>44</v>
      </c>
      <c r="C1167" s="53" t="s">
        <v>93</v>
      </c>
      <c r="D1167" s="53" t="s">
        <v>94</v>
      </c>
      <c r="E1167" s="51" t="s">
        <v>84</v>
      </c>
      <c r="F1167" s="53" t="s">
        <v>80</v>
      </c>
      <c r="G1167" s="53">
        <v>5743</v>
      </c>
    </row>
    <row r="1168" spans="1:7">
      <c r="A1168" s="53">
        <v>84105017</v>
      </c>
      <c r="B1168" s="53">
        <v>48</v>
      </c>
      <c r="C1168" s="53" t="s">
        <v>92</v>
      </c>
      <c r="D1168" s="53" t="s">
        <v>94</v>
      </c>
      <c r="E1168" s="51" t="s">
        <v>84</v>
      </c>
      <c r="F1168" s="53" t="s">
        <v>80</v>
      </c>
      <c r="G1168" s="53">
        <v>15202</v>
      </c>
    </row>
    <row r="1169" spans="1:7">
      <c r="A1169" s="53">
        <v>83985967</v>
      </c>
      <c r="B1169" s="53">
        <v>35</v>
      </c>
      <c r="C1169" s="53" t="s">
        <v>85</v>
      </c>
      <c r="D1169" s="53" t="s">
        <v>88</v>
      </c>
      <c r="E1169" s="51" t="s">
        <v>81</v>
      </c>
      <c r="F1169" s="53" t="s">
        <v>80</v>
      </c>
      <c r="G1169" s="53">
        <v>5440</v>
      </c>
    </row>
    <row r="1170" spans="1:7">
      <c r="A1170" s="53">
        <v>89508642</v>
      </c>
      <c r="B1170" s="53">
        <v>24</v>
      </c>
      <c r="C1170" s="53" t="s">
        <v>92</v>
      </c>
      <c r="D1170" s="53" t="s">
        <v>87</v>
      </c>
      <c r="E1170" s="51" t="s">
        <v>86</v>
      </c>
      <c r="F1170" s="53" t="s">
        <v>89</v>
      </c>
      <c r="G1170" s="53">
        <v>3760</v>
      </c>
    </row>
    <row r="1171" spans="1:7">
      <c r="A1171" s="53">
        <v>87002930</v>
      </c>
      <c r="B1171" s="53">
        <v>27</v>
      </c>
      <c r="C1171" s="53" t="s">
        <v>92</v>
      </c>
      <c r="D1171" s="53" t="s">
        <v>82</v>
      </c>
      <c r="E1171" s="51" t="s">
        <v>86</v>
      </c>
      <c r="F1171" s="53" t="s">
        <v>89</v>
      </c>
      <c r="G1171" s="53">
        <v>3517</v>
      </c>
    </row>
    <row r="1172" spans="1:7">
      <c r="A1172" s="53">
        <v>81438293</v>
      </c>
      <c r="B1172" s="53">
        <v>27</v>
      </c>
      <c r="C1172" s="53" t="s">
        <v>92</v>
      </c>
      <c r="D1172" s="53" t="s">
        <v>82</v>
      </c>
      <c r="E1172" s="51" t="s">
        <v>86</v>
      </c>
      <c r="F1172" s="53" t="s">
        <v>80</v>
      </c>
      <c r="G1172" s="53">
        <v>2580</v>
      </c>
    </row>
    <row r="1173" spans="1:7">
      <c r="A1173" s="53">
        <v>88423176</v>
      </c>
      <c r="B1173" s="53">
        <v>40</v>
      </c>
      <c r="C1173" s="53" t="s">
        <v>92</v>
      </c>
      <c r="D1173" s="53" t="s">
        <v>82</v>
      </c>
      <c r="E1173" s="51" t="s">
        <v>84</v>
      </c>
      <c r="F1173" s="53" t="s">
        <v>80</v>
      </c>
      <c r="G1173" s="53">
        <v>2166</v>
      </c>
    </row>
    <row r="1174" spans="1:7">
      <c r="A1174" s="53">
        <v>82366632</v>
      </c>
      <c r="B1174" s="53">
        <v>29</v>
      </c>
      <c r="C1174" s="53" t="s">
        <v>85</v>
      </c>
      <c r="D1174" s="53" t="s">
        <v>82</v>
      </c>
      <c r="E1174" s="51" t="s">
        <v>86</v>
      </c>
      <c r="F1174" s="53" t="s">
        <v>80</v>
      </c>
      <c r="G1174" s="53">
        <v>5869</v>
      </c>
    </row>
    <row r="1175" spans="1:7">
      <c r="A1175" s="53">
        <v>82031691</v>
      </c>
      <c r="B1175" s="53">
        <v>36</v>
      </c>
      <c r="C1175" s="53" t="s">
        <v>92</v>
      </c>
      <c r="D1175" s="53" t="s">
        <v>91</v>
      </c>
      <c r="E1175" s="51" t="s">
        <v>81</v>
      </c>
      <c r="F1175" s="53" t="s">
        <v>89</v>
      </c>
      <c r="G1175" s="53">
        <v>8008</v>
      </c>
    </row>
    <row r="1176" spans="1:7">
      <c r="A1176" s="53">
        <v>87029888</v>
      </c>
      <c r="B1176" s="53">
        <v>25</v>
      </c>
      <c r="C1176" s="53" t="s">
        <v>92</v>
      </c>
      <c r="D1176" s="53" t="s">
        <v>87</v>
      </c>
      <c r="E1176" s="51" t="s">
        <v>86</v>
      </c>
      <c r="F1176" s="53" t="s">
        <v>80</v>
      </c>
      <c r="G1176" s="53">
        <v>5206</v>
      </c>
    </row>
    <row r="1177" spans="1:7">
      <c r="A1177" s="53">
        <v>83356963</v>
      </c>
      <c r="B1177" s="53">
        <v>39</v>
      </c>
      <c r="C1177" s="53" t="s">
        <v>92</v>
      </c>
      <c r="D1177" s="53" t="s">
        <v>82</v>
      </c>
      <c r="E1177" s="51" t="s">
        <v>81</v>
      </c>
      <c r="F1177" s="53" t="s">
        <v>80</v>
      </c>
      <c r="G1177" s="53">
        <v>5295</v>
      </c>
    </row>
    <row r="1178" spans="1:7">
      <c r="A1178" s="53">
        <v>83722035</v>
      </c>
      <c r="B1178" s="53">
        <v>49</v>
      </c>
      <c r="C1178" s="53" t="s">
        <v>92</v>
      </c>
      <c r="D1178" s="53" t="s">
        <v>91</v>
      </c>
      <c r="E1178" s="51" t="s">
        <v>84</v>
      </c>
      <c r="F1178" s="53" t="s">
        <v>89</v>
      </c>
      <c r="G1178" s="53">
        <v>16413</v>
      </c>
    </row>
    <row r="1179" spans="1:7">
      <c r="A1179" s="53">
        <v>85551610</v>
      </c>
      <c r="B1179" s="53">
        <v>50</v>
      </c>
      <c r="C1179" s="53" t="s">
        <v>92</v>
      </c>
      <c r="D1179" s="53" t="s">
        <v>94</v>
      </c>
      <c r="E1179" s="51" t="s">
        <v>90</v>
      </c>
      <c r="F1179" s="53" t="s">
        <v>89</v>
      </c>
      <c r="G1179" s="53">
        <v>13269</v>
      </c>
    </row>
    <row r="1180" spans="1:7">
      <c r="A1180" s="53">
        <v>88472517</v>
      </c>
      <c r="B1180" s="53">
        <v>20</v>
      </c>
      <c r="C1180" s="53" t="s">
        <v>85</v>
      </c>
      <c r="D1180" s="53" t="s">
        <v>82</v>
      </c>
      <c r="E1180" s="51" t="s">
        <v>86</v>
      </c>
      <c r="F1180" s="53" t="s">
        <v>89</v>
      </c>
      <c r="G1180" s="53">
        <v>2783</v>
      </c>
    </row>
    <row r="1181" spans="1:7">
      <c r="A1181" s="53">
        <v>89136495</v>
      </c>
      <c r="B1181" s="53">
        <v>34</v>
      </c>
      <c r="C1181" s="53" t="s">
        <v>92</v>
      </c>
      <c r="D1181" s="53" t="s">
        <v>82</v>
      </c>
      <c r="E1181" s="51" t="s">
        <v>81</v>
      </c>
      <c r="F1181" s="53" t="s">
        <v>89</v>
      </c>
      <c r="G1181" s="53">
        <v>5433</v>
      </c>
    </row>
    <row r="1182" spans="1:7">
      <c r="A1182" s="53">
        <v>82532263</v>
      </c>
      <c r="B1182" s="53">
        <v>36</v>
      </c>
      <c r="C1182" s="53" t="s">
        <v>92</v>
      </c>
      <c r="D1182" s="53" t="s">
        <v>82</v>
      </c>
      <c r="E1182" s="51" t="s">
        <v>81</v>
      </c>
      <c r="F1182" s="53" t="s">
        <v>80</v>
      </c>
      <c r="G1182" s="53">
        <v>2013</v>
      </c>
    </row>
    <row r="1183" spans="1:7">
      <c r="A1183" s="53">
        <v>81094684</v>
      </c>
      <c r="B1183" s="53">
        <v>49</v>
      </c>
      <c r="C1183" s="53" t="s">
        <v>92</v>
      </c>
      <c r="D1183" s="53" t="s">
        <v>87</v>
      </c>
      <c r="E1183" s="51" t="s">
        <v>84</v>
      </c>
      <c r="F1183" s="53" t="s">
        <v>89</v>
      </c>
      <c r="G1183" s="53">
        <v>13966</v>
      </c>
    </row>
    <row r="1184" spans="1:7">
      <c r="A1184" s="53">
        <v>88023616</v>
      </c>
      <c r="B1184" s="53">
        <v>36</v>
      </c>
      <c r="C1184" s="53" t="s">
        <v>92</v>
      </c>
      <c r="D1184" s="53" t="s">
        <v>91</v>
      </c>
      <c r="E1184" s="51" t="s">
        <v>81</v>
      </c>
      <c r="F1184" s="53" t="s">
        <v>89</v>
      </c>
      <c r="G1184" s="53">
        <v>4374</v>
      </c>
    </row>
    <row r="1185" spans="1:7">
      <c r="A1185" s="53">
        <v>81246729</v>
      </c>
      <c r="B1185" s="53">
        <v>36</v>
      </c>
      <c r="C1185" s="53" t="s">
        <v>92</v>
      </c>
      <c r="D1185" s="53" t="s">
        <v>88</v>
      </c>
      <c r="E1185" s="51" t="s">
        <v>81</v>
      </c>
      <c r="F1185" s="53" t="s">
        <v>80</v>
      </c>
      <c r="G1185" s="53">
        <v>6842</v>
      </c>
    </row>
    <row r="1186" spans="1:7">
      <c r="A1186" s="53">
        <v>80729894</v>
      </c>
      <c r="B1186" s="53">
        <v>54</v>
      </c>
      <c r="C1186" s="53" t="s">
        <v>92</v>
      </c>
      <c r="D1186" s="53" t="s">
        <v>94</v>
      </c>
      <c r="E1186" s="51" t="s">
        <v>90</v>
      </c>
      <c r="F1186" s="53" t="s">
        <v>89</v>
      </c>
      <c r="G1186" s="53">
        <v>17426</v>
      </c>
    </row>
    <row r="1187" spans="1:7">
      <c r="A1187" s="53">
        <v>86139203</v>
      </c>
      <c r="B1187" s="53">
        <v>43</v>
      </c>
      <c r="C1187" s="53" t="s">
        <v>92</v>
      </c>
      <c r="D1187" s="53" t="s">
        <v>88</v>
      </c>
      <c r="E1187" s="51" t="s">
        <v>84</v>
      </c>
      <c r="F1187" s="53" t="s">
        <v>80</v>
      </c>
      <c r="G1187" s="53">
        <v>17603</v>
      </c>
    </row>
    <row r="1188" spans="1:7">
      <c r="A1188" s="53">
        <v>87089963</v>
      </c>
      <c r="B1188" s="53">
        <v>35</v>
      </c>
      <c r="C1188" s="53" t="s">
        <v>85</v>
      </c>
      <c r="D1188" s="53" t="s">
        <v>91</v>
      </c>
      <c r="E1188" s="51" t="s">
        <v>81</v>
      </c>
      <c r="F1188" s="53" t="s">
        <v>80</v>
      </c>
      <c r="G1188" s="53">
        <v>4581</v>
      </c>
    </row>
    <row r="1189" spans="1:7">
      <c r="A1189" s="53">
        <v>81405171</v>
      </c>
      <c r="B1189" s="53">
        <v>38</v>
      </c>
      <c r="C1189" s="53" t="s">
        <v>92</v>
      </c>
      <c r="D1189" s="53" t="s">
        <v>82</v>
      </c>
      <c r="E1189" s="51" t="s">
        <v>81</v>
      </c>
      <c r="F1189" s="53" t="s">
        <v>80</v>
      </c>
      <c r="G1189" s="53">
        <v>4735</v>
      </c>
    </row>
    <row r="1190" spans="1:7">
      <c r="A1190" s="53">
        <v>85548412</v>
      </c>
      <c r="B1190" s="53">
        <v>29</v>
      </c>
      <c r="C1190" s="53" t="s">
        <v>85</v>
      </c>
      <c r="D1190" s="53" t="s">
        <v>82</v>
      </c>
      <c r="E1190" s="51" t="s">
        <v>86</v>
      </c>
      <c r="F1190" s="53" t="s">
        <v>80</v>
      </c>
      <c r="G1190" s="53">
        <v>4187</v>
      </c>
    </row>
    <row r="1191" spans="1:7">
      <c r="A1191" s="53">
        <v>86551850</v>
      </c>
      <c r="B1191" s="53">
        <v>33</v>
      </c>
      <c r="C1191" s="53" t="s">
        <v>85</v>
      </c>
      <c r="D1191" s="53" t="s">
        <v>91</v>
      </c>
      <c r="E1191" s="51" t="s">
        <v>81</v>
      </c>
      <c r="F1191" s="53" t="s">
        <v>80</v>
      </c>
      <c r="G1191" s="53">
        <v>5505</v>
      </c>
    </row>
    <row r="1192" spans="1:7">
      <c r="A1192" s="53">
        <v>89112451</v>
      </c>
      <c r="B1192" s="53">
        <v>32</v>
      </c>
      <c r="C1192" s="53" t="s">
        <v>92</v>
      </c>
      <c r="D1192" s="53" t="s">
        <v>82</v>
      </c>
      <c r="E1192" s="51" t="s">
        <v>81</v>
      </c>
      <c r="F1192" s="53" t="s">
        <v>80</v>
      </c>
      <c r="G1192" s="53">
        <v>5470</v>
      </c>
    </row>
    <row r="1193" spans="1:7">
      <c r="A1193" s="53">
        <v>88149091</v>
      </c>
      <c r="B1193" s="53">
        <v>31</v>
      </c>
      <c r="C1193" s="53" t="s">
        <v>85</v>
      </c>
      <c r="D1193" s="53" t="s">
        <v>91</v>
      </c>
      <c r="E1193" s="51" t="s">
        <v>81</v>
      </c>
      <c r="F1193" s="53" t="s">
        <v>89</v>
      </c>
      <c r="G1193" s="53">
        <v>5476</v>
      </c>
    </row>
    <row r="1194" spans="1:7">
      <c r="A1194" s="53">
        <v>84608713</v>
      </c>
      <c r="B1194" s="53">
        <v>49</v>
      </c>
      <c r="C1194" s="53" t="s">
        <v>92</v>
      </c>
      <c r="D1194" s="53" t="s">
        <v>82</v>
      </c>
      <c r="E1194" s="51" t="s">
        <v>84</v>
      </c>
      <c r="F1194" s="53" t="s">
        <v>89</v>
      </c>
      <c r="G1194" s="53">
        <v>2587</v>
      </c>
    </row>
    <row r="1195" spans="1:7">
      <c r="A1195" s="53">
        <v>83619383</v>
      </c>
      <c r="B1195" s="53">
        <v>38</v>
      </c>
      <c r="C1195" s="53" t="s">
        <v>92</v>
      </c>
      <c r="D1195" s="53" t="s">
        <v>82</v>
      </c>
      <c r="E1195" s="51" t="s">
        <v>81</v>
      </c>
      <c r="F1195" s="53" t="s">
        <v>89</v>
      </c>
      <c r="G1195" s="53">
        <v>2440</v>
      </c>
    </row>
    <row r="1196" spans="1:7">
      <c r="A1196" s="53">
        <v>87172913</v>
      </c>
      <c r="B1196" s="53">
        <v>47</v>
      </c>
      <c r="C1196" s="53" t="s">
        <v>85</v>
      </c>
      <c r="D1196" s="53" t="s">
        <v>91</v>
      </c>
      <c r="E1196" s="51" t="s">
        <v>84</v>
      </c>
      <c r="F1196" s="53" t="s">
        <v>89</v>
      </c>
      <c r="G1196" s="53">
        <v>15972</v>
      </c>
    </row>
    <row r="1197" spans="1:7">
      <c r="A1197" s="53">
        <v>81243380</v>
      </c>
      <c r="B1197" s="53">
        <v>49</v>
      </c>
      <c r="C1197" s="53" t="s">
        <v>92</v>
      </c>
      <c r="D1197" s="53" t="s">
        <v>82</v>
      </c>
      <c r="E1197" s="51" t="s">
        <v>84</v>
      </c>
      <c r="F1197" s="53" t="s">
        <v>80</v>
      </c>
      <c r="G1197" s="53">
        <v>15379</v>
      </c>
    </row>
    <row r="1198" spans="1:7">
      <c r="A1198" s="53">
        <v>81417515</v>
      </c>
      <c r="B1198" s="53">
        <v>41</v>
      </c>
      <c r="C1198" s="53" t="s">
        <v>85</v>
      </c>
      <c r="D1198" s="53" t="s">
        <v>88</v>
      </c>
      <c r="E1198" s="51" t="s">
        <v>84</v>
      </c>
      <c r="F1198" s="53" t="s">
        <v>80</v>
      </c>
      <c r="G1198" s="53">
        <v>7082</v>
      </c>
    </row>
    <row r="1199" spans="1:7">
      <c r="A1199" s="53">
        <v>88367356</v>
      </c>
      <c r="B1199" s="53">
        <v>20</v>
      </c>
      <c r="C1199" s="53" t="s">
        <v>85</v>
      </c>
      <c r="D1199" s="53" t="s">
        <v>87</v>
      </c>
      <c r="E1199" s="51" t="s">
        <v>86</v>
      </c>
      <c r="F1199" s="53" t="s">
        <v>80</v>
      </c>
      <c r="G1199" s="53">
        <v>2728</v>
      </c>
    </row>
    <row r="1200" spans="1:7">
      <c r="A1200" s="53">
        <v>84608962</v>
      </c>
      <c r="B1200" s="53">
        <v>33</v>
      </c>
      <c r="C1200" s="53" t="s">
        <v>85</v>
      </c>
      <c r="D1200" s="53" t="s">
        <v>82</v>
      </c>
      <c r="E1200" s="51" t="s">
        <v>81</v>
      </c>
      <c r="F1200" s="53" t="s">
        <v>89</v>
      </c>
      <c r="G1200" s="53">
        <v>5368</v>
      </c>
    </row>
    <row r="1201" spans="1:7">
      <c r="A1201" s="53">
        <v>80108939</v>
      </c>
      <c r="B1201" s="53">
        <v>36</v>
      </c>
      <c r="C1201" s="53" t="s">
        <v>92</v>
      </c>
      <c r="D1201" s="53" t="s">
        <v>91</v>
      </c>
      <c r="E1201" s="51" t="s">
        <v>81</v>
      </c>
      <c r="F1201" s="53" t="s">
        <v>80</v>
      </c>
      <c r="G1201" s="53">
        <v>5347</v>
      </c>
    </row>
    <row r="1202" spans="1:7">
      <c r="A1202" s="53">
        <v>89284357</v>
      </c>
      <c r="B1202" s="53">
        <v>44</v>
      </c>
      <c r="C1202" s="53" t="s">
        <v>93</v>
      </c>
      <c r="D1202" s="53" t="s">
        <v>82</v>
      </c>
      <c r="E1202" s="51" t="s">
        <v>84</v>
      </c>
      <c r="F1202" s="53" t="s">
        <v>89</v>
      </c>
      <c r="G1202" s="53">
        <v>3195</v>
      </c>
    </row>
    <row r="1203" spans="1:7">
      <c r="A1203" s="53">
        <v>85016535</v>
      </c>
      <c r="B1203" s="53">
        <v>23</v>
      </c>
      <c r="C1203" s="53" t="s">
        <v>92</v>
      </c>
      <c r="D1203" s="53" t="s">
        <v>87</v>
      </c>
      <c r="E1203" s="51" t="s">
        <v>86</v>
      </c>
      <c r="F1203" s="53" t="s">
        <v>80</v>
      </c>
      <c r="G1203" s="53">
        <v>3989</v>
      </c>
    </row>
    <row r="1204" spans="1:7">
      <c r="A1204" s="53">
        <v>83753402</v>
      </c>
      <c r="B1204" s="53">
        <v>38</v>
      </c>
      <c r="C1204" s="53" t="s">
        <v>92</v>
      </c>
      <c r="D1204" s="53" t="s">
        <v>88</v>
      </c>
      <c r="E1204" s="51" t="s">
        <v>81</v>
      </c>
      <c r="F1204" s="53" t="s">
        <v>89</v>
      </c>
      <c r="G1204" s="53">
        <v>3306</v>
      </c>
    </row>
    <row r="1205" spans="1:7">
      <c r="A1205" s="53">
        <v>88790745</v>
      </c>
      <c r="B1205" s="53">
        <v>53</v>
      </c>
      <c r="C1205" s="53" t="s">
        <v>92</v>
      </c>
      <c r="D1205" s="53" t="s">
        <v>91</v>
      </c>
      <c r="E1205" s="51" t="s">
        <v>90</v>
      </c>
      <c r="F1205" s="53" t="s">
        <v>80</v>
      </c>
      <c r="G1205" s="53">
        <v>7005</v>
      </c>
    </row>
    <row r="1206" spans="1:7">
      <c r="A1206" s="53">
        <v>86151248</v>
      </c>
      <c r="B1206" s="53">
        <v>48</v>
      </c>
      <c r="C1206" s="53" t="s">
        <v>85</v>
      </c>
      <c r="D1206" s="53" t="s">
        <v>88</v>
      </c>
      <c r="E1206" s="51" t="s">
        <v>84</v>
      </c>
      <c r="F1206" s="53" t="s">
        <v>89</v>
      </c>
      <c r="G1206" s="53">
        <v>2655</v>
      </c>
    </row>
    <row r="1207" spans="1:7">
      <c r="A1207" s="53">
        <v>88683630</v>
      </c>
      <c r="B1207" s="53">
        <v>32</v>
      </c>
      <c r="C1207" s="53" t="s">
        <v>92</v>
      </c>
      <c r="D1207" s="53" t="s">
        <v>91</v>
      </c>
      <c r="E1207" s="51" t="s">
        <v>81</v>
      </c>
      <c r="F1207" s="53" t="s">
        <v>80</v>
      </c>
      <c r="G1207" s="53">
        <v>1393</v>
      </c>
    </row>
    <row r="1208" spans="1:7">
      <c r="A1208" s="53">
        <v>80449053</v>
      </c>
      <c r="B1208" s="53">
        <v>26</v>
      </c>
      <c r="C1208" s="53" t="s">
        <v>92</v>
      </c>
      <c r="D1208" s="53" t="s">
        <v>82</v>
      </c>
      <c r="E1208" s="51" t="s">
        <v>86</v>
      </c>
      <c r="F1208" s="53" t="s">
        <v>80</v>
      </c>
      <c r="G1208" s="53">
        <v>2570</v>
      </c>
    </row>
    <row r="1209" spans="1:7">
      <c r="A1209" s="53">
        <v>84139671</v>
      </c>
      <c r="B1209" s="53">
        <v>55</v>
      </c>
      <c r="C1209" s="53" t="s">
        <v>92</v>
      </c>
      <c r="D1209" s="53" t="s">
        <v>82</v>
      </c>
      <c r="E1209" s="51" t="s">
        <v>90</v>
      </c>
      <c r="F1209" s="53" t="s">
        <v>80</v>
      </c>
      <c r="G1209" s="53">
        <v>3537</v>
      </c>
    </row>
    <row r="1210" spans="1:7">
      <c r="A1210" s="53">
        <v>82650595</v>
      </c>
      <c r="B1210" s="53">
        <v>34</v>
      </c>
      <c r="C1210" s="53" t="s">
        <v>92</v>
      </c>
      <c r="D1210" s="53" t="s">
        <v>88</v>
      </c>
      <c r="E1210" s="51" t="s">
        <v>81</v>
      </c>
      <c r="F1210" s="53" t="s">
        <v>80</v>
      </c>
      <c r="G1210" s="53">
        <v>3986</v>
      </c>
    </row>
    <row r="1211" spans="1:7">
      <c r="A1211" s="53">
        <v>83043676</v>
      </c>
      <c r="B1211" s="53">
        <v>60</v>
      </c>
      <c r="C1211" s="53" t="s">
        <v>92</v>
      </c>
      <c r="D1211" s="53" t="s">
        <v>91</v>
      </c>
      <c r="E1211" s="51" t="s">
        <v>90</v>
      </c>
      <c r="F1211" s="53" t="s">
        <v>80</v>
      </c>
      <c r="G1211" s="53">
        <v>10883</v>
      </c>
    </row>
    <row r="1212" spans="1:7">
      <c r="A1212" s="53">
        <v>80070089</v>
      </c>
      <c r="B1212" s="53">
        <v>33</v>
      </c>
      <c r="C1212" s="53" t="s">
        <v>92</v>
      </c>
      <c r="D1212" s="53" t="s">
        <v>82</v>
      </c>
      <c r="E1212" s="51" t="s">
        <v>81</v>
      </c>
      <c r="F1212" s="53" t="s">
        <v>80</v>
      </c>
      <c r="G1212" s="53">
        <v>2028</v>
      </c>
    </row>
    <row r="1213" spans="1:7">
      <c r="A1213" s="53">
        <v>86325515</v>
      </c>
      <c r="B1213" s="53">
        <v>37</v>
      </c>
      <c r="C1213" s="53" t="s">
        <v>85</v>
      </c>
      <c r="D1213" s="53" t="s">
        <v>91</v>
      </c>
      <c r="E1213" s="51" t="s">
        <v>81</v>
      </c>
      <c r="F1213" s="53" t="s">
        <v>80</v>
      </c>
      <c r="G1213" s="53">
        <v>9525</v>
      </c>
    </row>
    <row r="1214" spans="1:7">
      <c r="A1214" s="53">
        <v>82597015</v>
      </c>
      <c r="B1214" s="53">
        <v>34</v>
      </c>
      <c r="C1214" s="53" t="s">
        <v>92</v>
      </c>
      <c r="D1214" s="53" t="s">
        <v>82</v>
      </c>
      <c r="E1214" s="51" t="s">
        <v>81</v>
      </c>
      <c r="F1214" s="53" t="s">
        <v>89</v>
      </c>
      <c r="G1214" s="53">
        <v>2929</v>
      </c>
    </row>
    <row r="1215" spans="1:7">
      <c r="A1215" s="53">
        <v>88758245</v>
      </c>
      <c r="B1215" s="53">
        <v>23</v>
      </c>
      <c r="C1215" s="53" t="s">
        <v>85</v>
      </c>
      <c r="D1215" s="53" t="s">
        <v>82</v>
      </c>
      <c r="E1215" s="51" t="s">
        <v>86</v>
      </c>
      <c r="F1215" s="53" t="s">
        <v>80</v>
      </c>
      <c r="G1215" s="53">
        <v>2275</v>
      </c>
    </row>
    <row r="1216" spans="1:7">
      <c r="A1216" s="53">
        <v>87697256</v>
      </c>
      <c r="B1216" s="53">
        <v>44</v>
      </c>
      <c r="C1216" s="53" t="s">
        <v>92</v>
      </c>
      <c r="D1216" s="53" t="s">
        <v>82</v>
      </c>
      <c r="E1216" s="51" t="s">
        <v>84</v>
      </c>
      <c r="F1216" s="53" t="s">
        <v>89</v>
      </c>
      <c r="G1216" s="53">
        <v>7879</v>
      </c>
    </row>
    <row r="1217" spans="1:7">
      <c r="A1217" s="53">
        <v>89956510</v>
      </c>
      <c r="B1217" s="53">
        <v>35</v>
      </c>
      <c r="C1217" s="53" t="s">
        <v>92</v>
      </c>
      <c r="D1217" s="53" t="s">
        <v>91</v>
      </c>
      <c r="E1217" s="51" t="s">
        <v>81</v>
      </c>
      <c r="F1217" s="53" t="s">
        <v>80</v>
      </c>
      <c r="G1217" s="53">
        <v>4930</v>
      </c>
    </row>
    <row r="1218" spans="1:7">
      <c r="A1218" s="53">
        <v>88356192</v>
      </c>
      <c r="B1218" s="53">
        <v>43</v>
      </c>
      <c r="C1218" s="53" t="s">
        <v>85</v>
      </c>
      <c r="D1218" s="53" t="s">
        <v>82</v>
      </c>
      <c r="E1218" s="51" t="s">
        <v>84</v>
      </c>
      <c r="F1218" s="53" t="s">
        <v>80</v>
      </c>
      <c r="G1218" s="53">
        <v>7847</v>
      </c>
    </row>
    <row r="1219" spans="1:7">
      <c r="A1219" s="53">
        <v>89594922</v>
      </c>
      <c r="B1219" s="53">
        <v>24</v>
      </c>
      <c r="C1219" s="53" t="s">
        <v>92</v>
      </c>
      <c r="D1219" s="53" t="s">
        <v>82</v>
      </c>
      <c r="E1219" s="51" t="s">
        <v>86</v>
      </c>
      <c r="F1219" s="53" t="s">
        <v>80</v>
      </c>
      <c r="G1219" s="53">
        <v>4401</v>
      </c>
    </row>
    <row r="1220" spans="1:7">
      <c r="A1220" s="53">
        <v>82196377</v>
      </c>
      <c r="B1220" s="53">
        <v>41</v>
      </c>
      <c r="C1220" s="53" t="s">
        <v>85</v>
      </c>
      <c r="D1220" s="53" t="s">
        <v>82</v>
      </c>
      <c r="E1220" s="51" t="s">
        <v>84</v>
      </c>
      <c r="F1220" s="53" t="s">
        <v>80</v>
      </c>
      <c r="G1220" s="53">
        <v>9241</v>
      </c>
    </row>
    <row r="1221" spans="1:7">
      <c r="A1221" s="53">
        <v>88566449</v>
      </c>
      <c r="B1221" s="53">
        <v>29</v>
      </c>
      <c r="C1221" s="53" t="s">
        <v>92</v>
      </c>
      <c r="D1221" s="53" t="s">
        <v>91</v>
      </c>
      <c r="E1221" s="51" t="s">
        <v>86</v>
      </c>
      <c r="F1221" s="53" t="s">
        <v>89</v>
      </c>
      <c r="G1221" s="53">
        <v>2974</v>
      </c>
    </row>
    <row r="1222" spans="1:7">
      <c r="A1222" s="53">
        <v>84351371</v>
      </c>
      <c r="B1222" s="53">
        <v>36</v>
      </c>
      <c r="C1222" s="53" t="s">
        <v>85</v>
      </c>
      <c r="D1222" s="53" t="s">
        <v>91</v>
      </c>
      <c r="E1222" s="51" t="s">
        <v>81</v>
      </c>
      <c r="F1222" s="53" t="s">
        <v>89</v>
      </c>
      <c r="G1222" s="53">
        <v>4502</v>
      </c>
    </row>
    <row r="1223" spans="1:7">
      <c r="A1223" s="53">
        <v>88019312</v>
      </c>
      <c r="B1223" s="53">
        <v>45</v>
      </c>
      <c r="C1223" s="53" t="s">
        <v>92</v>
      </c>
      <c r="D1223" s="53" t="s">
        <v>87</v>
      </c>
      <c r="E1223" s="51" t="s">
        <v>84</v>
      </c>
      <c r="F1223" s="53" t="s">
        <v>80</v>
      </c>
      <c r="G1223" s="53">
        <v>10748</v>
      </c>
    </row>
    <row r="1224" spans="1:7">
      <c r="A1224" s="53">
        <v>82019206</v>
      </c>
      <c r="B1224" s="53">
        <v>24</v>
      </c>
      <c r="C1224" s="53" t="s">
        <v>93</v>
      </c>
      <c r="D1224" s="53" t="s">
        <v>87</v>
      </c>
      <c r="E1224" s="51" t="s">
        <v>86</v>
      </c>
      <c r="F1224" s="53" t="s">
        <v>80</v>
      </c>
      <c r="G1224" s="53">
        <v>1555</v>
      </c>
    </row>
    <row r="1225" spans="1:7">
      <c r="A1225" s="53">
        <v>87533092</v>
      </c>
      <c r="B1225" s="53">
        <v>47</v>
      </c>
      <c r="C1225" s="53" t="s">
        <v>85</v>
      </c>
      <c r="D1225" s="53" t="s">
        <v>82</v>
      </c>
      <c r="E1225" s="51" t="s">
        <v>84</v>
      </c>
      <c r="F1225" s="53" t="s">
        <v>80</v>
      </c>
      <c r="G1225" s="53">
        <v>12936</v>
      </c>
    </row>
    <row r="1226" spans="1:7">
      <c r="A1226" s="53">
        <v>88592436</v>
      </c>
      <c r="B1226" s="53">
        <v>26</v>
      </c>
      <c r="C1226" s="53" t="s">
        <v>92</v>
      </c>
      <c r="D1226" s="53" t="s">
        <v>91</v>
      </c>
      <c r="E1226" s="51" t="s">
        <v>86</v>
      </c>
      <c r="F1226" s="53" t="s">
        <v>80</v>
      </c>
      <c r="G1226" s="53">
        <v>2305</v>
      </c>
    </row>
    <row r="1227" spans="1:7">
      <c r="A1227" s="53">
        <v>82938965</v>
      </c>
      <c r="B1227" s="53">
        <v>45</v>
      </c>
      <c r="C1227" s="53" t="s">
        <v>92</v>
      </c>
      <c r="D1227" s="53" t="s">
        <v>88</v>
      </c>
      <c r="E1227" s="51" t="s">
        <v>84</v>
      </c>
      <c r="F1227" s="53" t="s">
        <v>89</v>
      </c>
      <c r="G1227" s="53">
        <v>16704</v>
      </c>
    </row>
    <row r="1228" spans="1:7">
      <c r="A1228" s="53">
        <v>89244297</v>
      </c>
      <c r="B1228" s="53">
        <v>32</v>
      </c>
      <c r="C1228" s="53" t="s">
        <v>92</v>
      </c>
      <c r="D1228" s="53" t="s">
        <v>82</v>
      </c>
      <c r="E1228" s="51" t="s">
        <v>81</v>
      </c>
      <c r="F1228" s="53" t="s">
        <v>80</v>
      </c>
      <c r="G1228" s="53">
        <v>3433</v>
      </c>
    </row>
    <row r="1229" spans="1:7">
      <c r="A1229" s="53">
        <v>82543791</v>
      </c>
      <c r="B1229" s="53">
        <v>31</v>
      </c>
      <c r="C1229" s="53" t="s">
        <v>92</v>
      </c>
      <c r="D1229" s="53" t="s">
        <v>91</v>
      </c>
      <c r="E1229" s="51" t="s">
        <v>81</v>
      </c>
      <c r="F1229" s="53" t="s">
        <v>80</v>
      </c>
      <c r="G1229" s="53">
        <v>3477</v>
      </c>
    </row>
    <row r="1230" spans="1:7">
      <c r="A1230" s="53">
        <v>82875239</v>
      </c>
      <c r="B1230" s="53">
        <v>41</v>
      </c>
      <c r="C1230" s="53" t="s">
        <v>93</v>
      </c>
      <c r="D1230" s="53" t="s">
        <v>82</v>
      </c>
      <c r="E1230" s="51" t="s">
        <v>84</v>
      </c>
      <c r="F1230" s="53" t="s">
        <v>80</v>
      </c>
      <c r="G1230" s="53">
        <v>6430</v>
      </c>
    </row>
    <row r="1231" spans="1:7">
      <c r="A1231" s="53">
        <v>88439926</v>
      </c>
      <c r="B1231" s="53">
        <v>40</v>
      </c>
      <c r="C1231" s="53" t="s">
        <v>92</v>
      </c>
      <c r="D1231" s="53" t="s">
        <v>88</v>
      </c>
      <c r="E1231" s="51" t="s">
        <v>84</v>
      </c>
      <c r="F1231" s="53" t="s">
        <v>89</v>
      </c>
      <c r="G1231" s="53">
        <v>6516</v>
      </c>
    </row>
    <row r="1232" spans="1:7">
      <c r="A1232" s="53">
        <v>85121204</v>
      </c>
      <c r="B1232" s="53">
        <v>24</v>
      </c>
      <c r="C1232" s="53" t="s">
        <v>92</v>
      </c>
      <c r="D1232" s="53" t="s">
        <v>87</v>
      </c>
      <c r="E1232" s="51" t="s">
        <v>86</v>
      </c>
      <c r="F1232" s="53" t="s">
        <v>80</v>
      </c>
      <c r="G1232" s="53">
        <v>3907</v>
      </c>
    </row>
    <row r="1233" spans="1:7">
      <c r="A1233" s="53">
        <v>82647967</v>
      </c>
      <c r="B1233" s="53">
        <v>46</v>
      </c>
      <c r="C1233" s="53" t="s">
        <v>92</v>
      </c>
      <c r="D1233" s="53" t="s">
        <v>91</v>
      </c>
      <c r="E1233" s="51" t="s">
        <v>84</v>
      </c>
      <c r="F1233" s="53" t="s">
        <v>80</v>
      </c>
      <c r="G1233" s="53">
        <v>5562</v>
      </c>
    </row>
    <row r="1234" spans="1:7">
      <c r="A1234" s="53">
        <v>85684968</v>
      </c>
      <c r="B1234" s="53">
        <v>35</v>
      </c>
      <c r="C1234" s="53" t="s">
        <v>92</v>
      </c>
      <c r="D1234" s="53" t="s">
        <v>91</v>
      </c>
      <c r="E1234" s="51" t="s">
        <v>81</v>
      </c>
      <c r="F1234" s="53" t="s">
        <v>80</v>
      </c>
      <c r="G1234" s="53">
        <v>6883</v>
      </c>
    </row>
    <row r="1235" spans="1:7">
      <c r="A1235" s="53">
        <v>82380063</v>
      </c>
      <c r="B1235" s="53">
        <v>30</v>
      </c>
      <c r="C1235" s="53" t="s">
        <v>92</v>
      </c>
      <c r="D1235" s="53" t="s">
        <v>87</v>
      </c>
      <c r="E1235" s="51" t="s">
        <v>81</v>
      </c>
      <c r="F1235" s="53" t="s">
        <v>80</v>
      </c>
      <c r="G1235" s="53">
        <v>2862</v>
      </c>
    </row>
    <row r="1236" spans="1:7">
      <c r="A1236" s="53">
        <v>86568509</v>
      </c>
      <c r="B1236" s="53">
        <v>47</v>
      </c>
      <c r="C1236" s="53" t="s">
        <v>85</v>
      </c>
      <c r="D1236" s="53" t="s">
        <v>91</v>
      </c>
      <c r="E1236" s="51" t="s">
        <v>84</v>
      </c>
      <c r="F1236" s="53" t="s">
        <v>80</v>
      </c>
      <c r="G1236" s="53">
        <v>4978</v>
      </c>
    </row>
    <row r="1237" spans="1:7">
      <c r="A1237" s="53">
        <v>88402367</v>
      </c>
      <c r="B1237" s="53">
        <v>46</v>
      </c>
      <c r="C1237" s="53" t="s">
        <v>85</v>
      </c>
      <c r="D1237" s="53" t="s">
        <v>82</v>
      </c>
      <c r="E1237" s="51" t="s">
        <v>84</v>
      </c>
      <c r="F1237" s="53" t="s">
        <v>80</v>
      </c>
      <c r="G1237" s="53">
        <v>10368</v>
      </c>
    </row>
    <row r="1238" spans="1:7">
      <c r="A1238" s="53">
        <v>87901094</v>
      </c>
      <c r="B1238" s="53">
        <v>36</v>
      </c>
      <c r="C1238" s="53" t="s">
        <v>85</v>
      </c>
      <c r="D1238" s="53" t="s">
        <v>94</v>
      </c>
      <c r="E1238" s="51" t="s">
        <v>81</v>
      </c>
      <c r="F1238" s="53" t="s">
        <v>80</v>
      </c>
      <c r="G1238" s="53">
        <v>6134</v>
      </c>
    </row>
    <row r="1239" spans="1:7">
      <c r="A1239" s="53">
        <v>86239427</v>
      </c>
      <c r="B1239" s="53">
        <v>32</v>
      </c>
      <c r="C1239" s="53" t="s">
        <v>85</v>
      </c>
      <c r="D1239" s="53" t="s">
        <v>88</v>
      </c>
      <c r="E1239" s="51" t="s">
        <v>81</v>
      </c>
      <c r="F1239" s="53" t="s">
        <v>80</v>
      </c>
      <c r="G1239" s="53">
        <v>6735</v>
      </c>
    </row>
    <row r="1240" spans="1:7">
      <c r="A1240" s="53">
        <v>81324174</v>
      </c>
      <c r="B1240" s="53">
        <v>23</v>
      </c>
      <c r="C1240" s="53" t="s">
        <v>92</v>
      </c>
      <c r="D1240" s="53" t="s">
        <v>87</v>
      </c>
      <c r="E1240" s="51" t="s">
        <v>86</v>
      </c>
      <c r="F1240" s="53" t="s">
        <v>89</v>
      </c>
      <c r="G1240" s="53">
        <v>3295</v>
      </c>
    </row>
    <row r="1241" spans="1:7">
      <c r="A1241" s="53">
        <v>88924853</v>
      </c>
      <c r="B1241" s="53">
        <v>31</v>
      </c>
      <c r="C1241" s="53" t="s">
        <v>92</v>
      </c>
      <c r="D1241" s="53" t="s">
        <v>87</v>
      </c>
      <c r="E1241" s="51" t="s">
        <v>81</v>
      </c>
      <c r="F1241" s="53" t="s">
        <v>89</v>
      </c>
      <c r="G1241" s="53">
        <v>5238</v>
      </c>
    </row>
    <row r="1242" spans="1:7">
      <c r="A1242" s="53">
        <v>85374246</v>
      </c>
      <c r="B1242" s="53">
        <v>39</v>
      </c>
      <c r="C1242" s="53" t="s">
        <v>92</v>
      </c>
      <c r="D1242" s="53" t="s">
        <v>82</v>
      </c>
      <c r="E1242" s="51" t="s">
        <v>81</v>
      </c>
      <c r="F1242" s="53" t="s">
        <v>80</v>
      </c>
      <c r="G1242" s="53">
        <v>6472</v>
      </c>
    </row>
    <row r="1243" spans="1:7">
      <c r="A1243" s="53">
        <v>87802114</v>
      </c>
      <c r="B1243" s="53">
        <v>32</v>
      </c>
      <c r="C1243" s="53" t="s">
        <v>85</v>
      </c>
      <c r="D1243" s="53" t="s">
        <v>82</v>
      </c>
      <c r="E1243" s="51" t="s">
        <v>81</v>
      </c>
      <c r="F1243" s="53" t="s">
        <v>80</v>
      </c>
      <c r="G1243" s="53">
        <v>9610</v>
      </c>
    </row>
    <row r="1244" spans="1:7">
      <c r="A1244" s="53">
        <v>86156874</v>
      </c>
      <c r="B1244" s="53">
        <v>40</v>
      </c>
      <c r="C1244" s="53" t="s">
        <v>85</v>
      </c>
      <c r="D1244" s="53" t="s">
        <v>91</v>
      </c>
      <c r="E1244" s="51" t="s">
        <v>84</v>
      </c>
      <c r="F1244" s="53" t="s">
        <v>80</v>
      </c>
      <c r="G1244" s="53">
        <v>19833</v>
      </c>
    </row>
    <row r="1245" spans="1:7">
      <c r="A1245" s="53">
        <v>88023441</v>
      </c>
      <c r="B1245" s="53">
        <v>45</v>
      </c>
      <c r="C1245" s="53" t="s">
        <v>93</v>
      </c>
      <c r="D1245" s="53" t="s">
        <v>82</v>
      </c>
      <c r="E1245" s="51" t="s">
        <v>84</v>
      </c>
      <c r="F1245" s="53" t="s">
        <v>89</v>
      </c>
      <c r="G1245" s="53">
        <v>9756</v>
      </c>
    </row>
    <row r="1246" spans="1:7">
      <c r="A1246" s="53">
        <v>87373995</v>
      </c>
      <c r="B1246" s="53">
        <v>30</v>
      </c>
      <c r="C1246" s="53" t="s">
        <v>92</v>
      </c>
      <c r="D1246" s="53" t="s">
        <v>91</v>
      </c>
      <c r="E1246" s="51" t="s">
        <v>81</v>
      </c>
      <c r="F1246" s="53" t="s">
        <v>89</v>
      </c>
      <c r="G1246" s="53">
        <v>4968</v>
      </c>
    </row>
    <row r="1247" spans="1:7">
      <c r="A1247" s="53">
        <v>81781514</v>
      </c>
      <c r="B1247" s="53">
        <v>24</v>
      </c>
      <c r="C1247" s="53" t="s">
        <v>93</v>
      </c>
      <c r="D1247" s="53" t="s">
        <v>82</v>
      </c>
      <c r="E1247" s="51" t="s">
        <v>86</v>
      </c>
      <c r="F1247" s="53" t="s">
        <v>80</v>
      </c>
      <c r="G1247" s="53">
        <v>2145</v>
      </c>
    </row>
    <row r="1248" spans="1:7">
      <c r="A1248" s="53">
        <v>86589628</v>
      </c>
      <c r="B1248" s="53">
        <v>30</v>
      </c>
      <c r="C1248" s="53" t="s">
        <v>93</v>
      </c>
      <c r="D1248" s="53" t="s">
        <v>82</v>
      </c>
      <c r="E1248" s="51" t="s">
        <v>81</v>
      </c>
      <c r="F1248" s="53" t="s">
        <v>89</v>
      </c>
      <c r="G1248" s="53">
        <v>2180</v>
      </c>
    </row>
    <row r="1249" spans="1:7">
      <c r="A1249" s="53">
        <v>87659060</v>
      </c>
      <c r="B1249" s="53">
        <v>31</v>
      </c>
      <c r="C1249" s="53" t="s">
        <v>85</v>
      </c>
      <c r="D1249" s="53" t="s">
        <v>82</v>
      </c>
      <c r="E1249" s="51" t="s">
        <v>81</v>
      </c>
      <c r="F1249" s="53" t="s">
        <v>80</v>
      </c>
      <c r="G1249" s="53">
        <v>8346</v>
      </c>
    </row>
    <row r="1250" spans="1:7">
      <c r="A1250" s="53">
        <v>85319950</v>
      </c>
      <c r="B1250" s="53">
        <v>27</v>
      </c>
      <c r="C1250" s="53" t="s">
        <v>92</v>
      </c>
      <c r="D1250" s="53" t="s">
        <v>82</v>
      </c>
      <c r="E1250" s="51" t="s">
        <v>86</v>
      </c>
      <c r="F1250" s="53" t="s">
        <v>89</v>
      </c>
      <c r="G1250" s="53">
        <v>3445</v>
      </c>
    </row>
    <row r="1251" spans="1:7">
      <c r="A1251" s="53">
        <v>88461855</v>
      </c>
      <c r="B1251" s="53">
        <v>29</v>
      </c>
      <c r="C1251" s="53" t="s">
        <v>85</v>
      </c>
      <c r="D1251" s="53" t="s">
        <v>82</v>
      </c>
      <c r="E1251" s="51" t="s">
        <v>86</v>
      </c>
      <c r="F1251" s="53" t="s">
        <v>89</v>
      </c>
      <c r="G1251" s="53">
        <v>2760</v>
      </c>
    </row>
    <row r="1252" spans="1:7">
      <c r="A1252" s="53">
        <v>85077435</v>
      </c>
      <c r="B1252" s="53">
        <v>29</v>
      </c>
      <c r="C1252" s="53" t="s">
        <v>92</v>
      </c>
      <c r="D1252" s="53" t="s">
        <v>82</v>
      </c>
      <c r="E1252" s="51" t="s">
        <v>86</v>
      </c>
      <c r="F1252" s="53" t="s">
        <v>80</v>
      </c>
      <c r="G1252" s="53">
        <v>6294</v>
      </c>
    </row>
    <row r="1253" spans="1:7">
      <c r="A1253" s="53">
        <v>83513934</v>
      </c>
      <c r="B1253" s="53">
        <v>30</v>
      </c>
      <c r="C1253" s="53" t="s">
        <v>85</v>
      </c>
      <c r="D1253" s="53" t="s">
        <v>88</v>
      </c>
      <c r="E1253" s="51" t="s">
        <v>81</v>
      </c>
      <c r="F1253" s="53" t="s">
        <v>80</v>
      </c>
      <c r="G1253" s="53">
        <v>7140</v>
      </c>
    </row>
    <row r="1254" spans="1:7">
      <c r="A1254" s="53">
        <v>88835304</v>
      </c>
      <c r="B1254" s="53">
        <v>34</v>
      </c>
      <c r="C1254" s="53" t="s">
        <v>92</v>
      </c>
      <c r="D1254" s="53" t="s">
        <v>91</v>
      </c>
      <c r="E1254" s="51" t="s">
        <v>81</v>
      </c>
      <c r="F1254" s="53" t="s">
        <v>80</v>
      </c>
      <c r="G1254" s="53">
        <v>2932</v>
      </c>
    </row>
    <row r="1255" spans="1:7">
      <c r="A1255" s="53">
        <v>85775206</v>
      </c>
      <c r="B1255" s="53">
        <v>33</v>
      </c>
      <c r="C1255" s="53" t="s">
        <v>85</v>
      </c>
      <c r="D1255" s="53" t="s">
        <v>82</v>
      </c>
      <c r="E1255" s="51" t="s">
        <v>81</v>
      </c>
      <c r="F1255" s="53" t="s">
        <v>89</v>
      </c>
      <c r="G1255" s="53">
        <v>5147</v>
      </c>
    </row>
    <row r="1256" spans="1:7">
      <c r="A1256" s="53">
        <v>82568190</v>
      </c>
      <c r="B1256" s="53">
        <v>49</v>
      </c>
      <c r="C1256" s="53" t="s">
        <v>85</v>
      </c>
      <c r="D1256" s="53" t="s">
        <v>91</v>
      </c>
      <c r="E1256" s="51" t="s">
        <v>84</v>
      </c>
      <c r="F1256" s="53" t="s">
        <v>89</v>
      </c>
      <c r="G1256" s="53">
        <v>4507</v>
      </c>
    </row>
    <row r="1257" spans="1:7">
      <c r="A1257" s="53">
        <v>87341383</v>
      </c>
      <c r="B1257" s="53">
        <v>33</v>
      </c>
      <c r="C1257" s="53" t="s">
        <v>85</v>
      </c>
      <c r="D1257" s="53" t="s">
        <v>82</v>
      </c>
      <c r="E1257" s="51" t="s">
        <v>81</v>
      </c>
      <c r="F1257" s="53" t="s">
        <v>89</v>
      </c>
      <c r="G1257" s="53">
        <v>8564</v>
      </c>
    </row>
    <row r="1258" spans="1:7">
      <c r="A1258" s="53">
        <v>83017002</v>
      </c>
      <c r="B1258" s="53">
        <v>38</v>
      </c>
      <c r="C1258" s="53" t="s">
        <v>92</v>
      </c>
      <c r="D1258" s="53" t="s">
        <v>88</v>
      </c>
      <c r="E1258" s="51" t="s">
        <v>81</v>
      </c>
      <c r="F1258" s="53" t="s">
        <v>89</v>
      </c>
      <c r="G1258" s="53">
        <v>2468</v>
      </c>
    </row>
    <row r="1259" spans="1:7">
      <c r="A1259" s="53">
        <v>89177856</v>
      </c>
      <c r="B1259" s="53">
        <v>31</v>
      </c>
      <c r="C1259" s="53" t="s">
        <v>85</v>
      </c>
      <c r="D1259" s="53" t="s">
        <v>91</v>
      </c>
      <c r="E1259" s="51" t="s">
        <v>81</v>
      </c>
      <c r="F1259" s="53" t="s">
        <v>80</v>
      </c>
      <c r="G1259" s="53">
        <v>8161</v>
      </c>
    </row>
    <row r="1260" spans="1:7">
      <c r="A1260" s="53">
        <v>84452934</v>
      </c>
      <c r="B1260" s="53">
        <v>29</v>
      </c>
      <c r="C1260" s="53" t="s">
        <v>92</v>
      </c>
      <c r="D1260" s="53" t="s">
        <v>82</v>
      </c>
      <c r="E1260" s="51" t="s">
        <v>86</v>
      </c>
      <c r="F1260" s="53" t="s">
        <v>89</v>
      </c>
      <c r="G1260" s="53">
        <v>2109</v>
      </c>
    </row>
    <row r="1261" spans="1:7">
      <c r="A1261" s="53">
        <v>87367717</v>
      </c>
      <c r="B1261" s="53">
        <v>30</v>
      </c>
      <c r="C1261" s="53" t="s">
        <v>92</v>
      </c>
      <c r="D1261" s="53" t="s">
        <v>82</v>
      </c>
      <c r="E1261" s="51" t="s">
        <v>81</v>
      </c>
      <c r="F1261" s="53" t="s">
        <v>80</v>
      </c>
      <c r="G1261" s="53">
        <v>5294</v>
      </c>
    </row>
    <row r="1262" spans="1:7">
      <c r="A1262" s="53">
        <v>81555671</v>
      </c>
      <c r="B1262" s="53">
        <v>32</v>
      </c>
      <c r="C1262" s="53" t="s">
        <v>92</v>
      </c>
      <c r="D1262" s="53" t="s">
        <v>91</v>
      </c>
      <c r="E1262" s="51" t="s">
        <v>81</v>
      </c>
      <c r="F1262" s="53" t="s">
        <v>80</v>
      </c>
      <c r="G1262" s="53">
        <v>2718</v>
      </c>
    </row>
    <row r="1263" spans="1:7">
      <c r="A1263" s="53">
        <v>82322707</v>
      </c>
      <c r="B1263" s="53">
        <v>38</v>
      </c>
      <c r="C1263" s="53" t="s">
        <v>92</v>
      </c>
      <c r="D1263" s="53" t="s">
        <v>82</v>
      </c>
      <c r="E1263" s="51" t="s">
        <v>81</v>
      </c>
      <c r="F1263" s="53" t="s">
        <v>80</v>
      </c>
      <c r="G1263" s="53">
        <v>5811</v>
      </c>
    </row>
    <row r="1264" spans="1:7">
      <c r="A1264" s="53">
        <v>85092693</v>
      </c>
      <c r="B1264" s="53">
        <v>43</v>
      </c>
      <c r="C1264" s="53" t="s">
        <v>92</v>
      </c>
      <c r="D1264" s="53" t="s">
        <v>82</v>
      </c>
      <c r="E1264" s="51" t="s">
        <v>84</v>
      </c>
      <c r="F1264" s="53" t="s">
        <v>80</v>
      </c>
      <c r="G1264" s="53">
        <v>2437</v>
      </c>
    </row>
    <row r="1265" spans="1:7">
      <c r="A1265" s="53">
        <v>89915408</v>
      </c>
      <c r="B1265" s="53">
        <v>42</v>
      </c>
      <c r="C1265" s="53" t="s">
        <v>92</v>
      </c>
      <c r="D1265" s="53" t="s">
        <v>82</v>
      </c>
      <c r="E1265" s="51" t="s">
        <v>84</v>
      </c>
      <c r="F1265" s="53" t="s">
        <v>80</v>
      </c>
      <c r="G1265" s="53">
        <v>2766</v>
      </c>
    </row>
    <row r="1266" spans="1:7">
      <c r="A1266" s="53">
        <v>88435185</v>
      </c>
      <c r="B1266" s="53">
        <v>55</v>
      </c>
      <c r="C1266" s="53" t="s">
        <v>92</v>
      </c>
      <c r="D1266" s="53" t="s">
        <v>82</v>
      </c>
      <c r="E1266" s="51" t="s">
        <v>90</v>
      </c>
      <c r="F1266" s="53" t="s">
        <v>80</v>
      </c>
      <c r="G1266" s="53">
        <v>19038</v>
      </c>
    </row>
    <row r="1267" spans="1:7">
      <c r="A1267" s="53">
        <v>85111235</v>
      </c>
      <c r="B1267" s="53">
        <v>33</v>
      </c>
      <c r="C1267" s="53" t="s">
        <v>92</v>
      </c>
      <c r="D1267" s="53" t="s">
        <v>82</v>
      </c>
      <c r="E1267" s="51" t="s">
        <v>81</v>
      </c>
      <c r="F1267" s="53" t="s">
        <v>80</v>
      </c>
      <c r="G1267" s="53">
        <v>3055</v>
      </c>
    </row>
    <row r="1268" spans="1:7">
      <c r="A1268" s="53">
        <v>84448900</v>
      </c>
      <c r="B1268" s="53">
        <v>41</v>
      </c>
      <c r="C1268" s="53" t="s">
        <v>92</v>
      </c>
      <c r="D1268" s="53" t="s">
        <v>91</v>
      </c>
      <c r="E1268" s="51" t="s">
        <v>84</v>
      </c>
      <c r="F1268" s="53" t="s">
        <v>80</v>
      </c>
      <c r="G1268" s="53">
        <v>2289</v>
      </c>
    </row>
    <row r="1269" spans="1:7">
      <c r="A1269" s="53">
        <v>85103773</v>
      </c>
      <c r="B1269" s="53">
        <v>34</v>
      </c>
      <c r="C1269" s="53" t="s">
        <v>85</v>
      </c>
      <c r="D1269" s="53" t="s">
        <v>82</v>
      </c>
      <c r="E1269" s="51" t="s">
        <v>81</v>
      </c>
      <c r="F1269" s="53" t="s">
        <v>80</v>
      </c>
      <c r="G1269" s="53">
        <v>4001</v>
      </c>
    </row>
    <row r="1270" spans="1:7">
      <c r="A1270" s="53">
        <v>89870954</v>
      </c>
      <c r="B1270" s="53">
        <v>53</v>
      </c>
      <c r="C1270" s="53" t="s">
        <v>92</v>
      </c>
      <c r="D1270" s="53" t="s">
        <v>91</v>
      </c>
      <c r="E1270" s="51" t="s">
        <v>90</v>
      </c>
      <c r="F1270" s="53" t="s">
        <v>89</v>
      </c>
      <c r="G1270" s="53">
        <v>12965</v>
      </c>
    </row>
    <row r="1271" spans="1:7">
      <c r="A1271" s="53">
        <v>84143109</v>
      </c>
      <c r="B1271" s="53">
        <v>43</v>
      </c>
      <c r="C1271" s="53" t="s">
        <v>93</v>
      </c>
      <c r="D1271" s="53" t="s">
        <v>82</v>
      </c>
      <c r="E1271" s="51" t="s">
        <v>84</v>
      </c>
      <c r="F1271" s="53" t="s">
        <v>80</v>
      </c>
      <c r="G1271" s="53">
        <v>3539</v>
      </c>
    </row>
    <row r="1272" spans="1:7">
      <c r="A1272" s="53">
        <v>80186602</v>
      </c>
      <c r="B1272" s="53">
        <v>34</v>
      </c>
      <c r="C1272" s="53" t="s">
        <v>85</v>
      </c>
      <c r="D1272" s="53" t="s">
        <v>88</v>
      </c>
      <c r="E1272" s="51" t="s">
        <v>81</v>
      </c>
      <c r="F1272" s="53" t="s">
        <v>89</v>
      </c>
      <c r="G1272" s="53">
        <v>6029</v>
      </c>
    </row>
    <row r="1273" spans="1:7">
      <c r="A1273" s="53">
        <v>87422034</v>
      </c>
      <c r="B1273" s="53">
        <v>21</v>
      </c>
      <c r="C1273" s="53" t="s">
        <v>85</v>
      </c>
      <c r="D1273" s="53" t="s">
        <v>87</v>
      </c>
      <c r="E1273" s="51" t="s">
        <v>86</v>
      </c>
      <c r="F1273" s="53" t="s">
        <v>80</v>
      </c>
      <c r="G1273" s="53">
        <v>2679</v>
      </c>
    </row>
    <row r="1274" spans="1:7">
      <c r="A1274" s="53">
        <v>86837305</v>
      </c>
      <c r="B1274" s="53">
        <v>38</v>
      </c>
      <c r="C1274" s="53" t="s">
        <v>92</v>
      </c>
      <c r="D1274" s="53" t="s">
        <v>88</v>
      </c>
      <c r="E1274" s="51" t="s">
        <v>81</v>
      </c>
      <c r="F1274" s="53" t="s">
        <v>89</v>
      </c>
      <c r="G1274" s="53">
        <v>3702</v>
      </c>
    </row>
    <row r="1275" spans="1:7">
      <c r="A1275" s="53">
        <v>89779955</v>
      </c>
      <c r="B1275" s="53">
        <v>22</v>
      </c>
      <c r="C1275" s="53" t="s">
        <v>92</v>
      </c>
      <c r="D1275" s="53" t="s">
        <v>87</v>
      </c>
      <c r="E1275" s="51" t="s">
        <v>86</v>
      </c>
      <c r="F1275" s="53" t="s">
        <v>89</v>
      </c>
      <c r="G1275" s="53">
        <v>2398</v>
      </c>
    </row>
    <row r="1276" spans="1:7">
      <c r="A1276" s="53">
        <v>87981930</v>
      </c>
      <c r="B1276" s="53">
        <v>31</v>
      </c>
      <c r="C1276" s="53" t="s">
        <v>85</v>
      </c>
      <c r="D1276" s="53" t="s">
        <v>91</v>
      </c>
      <c r="E1276" s="51" t="s">
        <v>81</v>
      </c>
      <c r="F1276" s="53" t="s">
        <v>89</v>
      </c>
      <c r="G1276" s="53">
        <v>5468</v>
      </c>
    </row>
    <row r="1277" spans="1:7">
      <c r="A1277" s="53">
        <v>88588560</v>
      </c>
      <c r="B1277" s="53">
        <v>51</v>
      </c>
      <c r="C1277" s="53" t="s">
        <v>92</v>
      </c>
      <c r="D1277" s="53" t="s">
        <v>82</v>
      </c>
      <c r="E1277" s="51" t="s">
        <v>90</v>
      </c>
      <c r="F1277" s="53" t="s">
        <v>89</v>
      </c>
      <c r="G1277" s="53">
        <v>13116</v>
      </c>
    </row>
    <row r="1278" spans="1:7">
      <c r="A1278" s="53">
        <v>85882530</v>
      </c>
      <c r="B1278" s="53">
        <v>37</v>
      </c>
      <c r="C1278" s="53" t="s">
        <v>85</v>
      </c>
      <c r="D1278" s="53" t="s">
        <v>88</v>
      </c>
      <c r="E1278" s="51" t="s">
        <v>81</v>
      </c>
      <c r="F1278" s="53" t="s">
        <v>80</v>
      </c>
      <c r="G1278" s="53">
        <v>4189</v>
      </c>
    </row>
    <row r="1279" spans="1:7">
      <c r="A1279" s="53">
        <v>82781454</v>
      </c>
      <c r="B1279" s="53">
        <v>46</v>
      </c>
      <c r="C1279" s="53" t="s">
        <v>92</v>
      </c>
      <c r="D1279" s="53" t="s">
        <v>91</v>
      </c>
      <c r="E1279" s="51" t="s">
        <v>84</v>
      </c>
      <c r="F1279" s="53" t="s">
        <v>80</v>
      </c>
      <c r="G1279" s="53">
        <v>19328</v>
      </c>
    </row>
    <row r="1280" spans="1:7">
      <c r="A1280" s="53">
        <v>86700089</v>
      </c>
      <c r="B1280" s="53">
        <v>36</v>
      </c>
      <c r="C1280" s="53" t="s">
        <v>92</v>
      </c>
      <c r="D1280" s="53" t="s">
        <v>82</v>
      </c>
      <c r="E1280" s="51" t="s">
        <v>81</v>
      </c>
      <c r="F1280" s="53" t="s">
        <v>80</v>
      </c>
      <c r="G1280" s="53">
        <v>8321</v>
      </c>
    </row>
    <row r="1281" spans="1:7">
      <c r="A1281" s="53">
        <v>84691964</v>
      </c>
      <c r="B1281" s="53">
        <v>44</v>
      </c>
      <c r="C1281" s="53" t="s">
        <v>92</v>
      </c>
      <c r="D1281" s="53" t="s">
        <v>88</v>
      </c>
      <c r="E1281" s="51" t="s">
        <v>84</v>
      </c>
      <c r="F1281" s="53" t="s">
        <v>80</v>
      </c>
      <c r="G1281" s="53">
        <v>2342</v>
      </c>
    </row>
    <row r="1282" spans="1:7">
      <c r="A1282" s="53">
        <v>83175647</v>
      </c>
      <c r="B1282" s="53">
        <v>37</v>
      </c>
      <c r="C1282" s="53" t="s">
        <v>93</v>
      </c>
      <c r="D1282" s="53" t="s">
        <v>88</v>
      </c>
      <c r="E1282" s="51" t="s">
        <v>81</v>
      </c>
      <c r="F1282" s="53" t="s">
        <v>80</v>
      </c>
      <c r="G1282" s="53">
        <v>4071</v>
      </c>
    </row>
    <row r="1283" spans="1:7">
      <c r="A1283" s="53">
        <v>80134673</v>
      </c>
      <c r="B1283" s="53">
        <v>35</v>
      </c>
      <c r="C1283" s="53" t="s">
        <v>85</v>
      </c>
      <c r="D1283" s="53" t="s">
        <v>82</v>
      </c>
      <c r="E1283" s="51" t="s">
        <v>81</v>
      </c>
      <c r="F1283" s="53" t="s">
        <v>80</v>
      </c>
      <c r="G1283" s="53">
        <v>5813</v>
      </c>
    </row>
    <row r="1284" spans="1:7">
      <c r="A1284" s="53">
        <v>89819037</v>
      </c>
      <c r="B1284" s="53">
        <v>33</v>
      </c>
      <c r="C1284" s="53" t="s">
        <v>92</v>
      </c>
      <c r="D1284" s="53" t="s">
        <v>91</v>
      </c>
      <c r="E1284" s="51" t="s">
        <v>81</v>
      </c>
      <c r="F1284" s="53" t="s">
        <v>80</v>
      </c>
      <c r="G1284" s="53">
        <v>3143</v>
      </c>
    </row>
    <row r="1285" spans="1:7">
      <c r="A1285" s="53">
        <v>87696746</v>
      </c>
      <c r="B1285" s="53">
        <v>28</v>
      </c>
      <c r="C1285" s="53" t="s">
        <v>92</v>
      </c>
      <c r="D1285" s="53" t="s">
        <v>82</v>
      </c>
      <c r="E1285" s="51" t="s">
        <v>86</v>
      </c>
      <c r="F1285" s="53" t="s">
        <v>80</v>
      </c>
      <c r="G1285" s="53">
        <v>2044</v>
      </c>
    </row>
    <row r="1286" spans="1:7">
      <c r="A1286" s="53">
        <v>88414975</v>
      </c>
      <c r="B1286" s="53">
        <v>39</v>
      </c>
      <c r="C1286" s="53" t="s">
        <v>92</v>
      </c>
      <c r="D1286" s="53" t="s">
        <v>87</v>
      </c>
      <c r="E1286" s="51" t="s">
        <v>81</v>
      </c>
      <c r="F1286" s="53" t="s">
        <v>80</v>
      </c>
      <c r="G1286" s="53">
        <v>13464</v>
      </c>
    </row>
    <row r="1287" spans="1:7">
      <c r="A1287" s="53">
        <v>86433125</v>
      </c>
      <c r="B1287" s="53">
        <v>46</v>
      </c>
      <c r="C1287" s="53" t="s">
        <v>85</v>
      </c>
      <c r="D1287" s="53" t="s">
        <v>88</v>
      </c>
      <c r="E1287" s="51" t="s">
        <v>84</v>
      </c>
      <c r="F1287" s="53" t="s">
        <v>80</v>
      </c>
      <c r="G1287" s="53">
        <v>7991</v>
      </c>
    </row>
    <row r="1288" spans="1:7">
      <c r="A1288" s="53">
        <v>87901659</v>
      </c>
      <c r="B1288" s="53">
        <v>40</v>
      </c>
      <c r="C1288" s="53" t="s">
        <v>92</v>
      </c>
      <c r="D1288" s="53" t="s">
        <v>88</v>
      </c>
      <c r="E1288" s="51" t="s">
        <v>84</v>
      </c>
      <c r="F1288" s="53" t="s">
        <v>89</v>
      </c>
      <c r="G1288" s="53">
        <v>3377</v>
      </c>
    </row>
    <row r="1289" spans="1:7">
      <c r="A1289" s="53">
        <v>82449560</v>
      </c>
      <c r="B1289" s="53">
        <v>42</v>
      </c>
      <c r="C1289" s="53" t="s">
        <v>92</v>
      </c>
      <c r="D1289" s="53" t="s">
        <v>82</v>
      </c>
      <c r="E1289" s="51" t="s">
        <v>84</v>
      </c>
      <c r="F1289" s="53" t="s">
        <v>80</v>
      </c>
      <c r="G1289" s="53">
        <v>5538</v>
      </c>
    </row>
    <row r="1290" spans="1:7">
      <c r="A1290" s="53">
        <v>82062992</v>
      </c>
      <c r="B1290" s="53">
        <v>35</v>
      </c>
      <c r="C1290" s="53" t="s">
        <v>92</v>
      </c>
      <c r="D1290" s="53" t="s">
        <v>88</v>
      </c>
      <c r="E1290" s="51" t="s">
        <v>81</v>
      </c>
      <c r="F1290" s="53" t="s">
        <v>80</v>
      </c>
      <c r="G1290" s="53">
        <v>5762</v>
      </c>
    </row>
    <row r="1291" spans="1:7">
      <c r="A1291" s="53">
        <v>81027552</v>
      </c>
      <c r="B1291" s="53">
        <v>38</v>
      </c>
      <c r="C1291" s="53" t="s">
        <v>93</v>
      </c>
      <c r="D1291" s="53" t="s">
        <v>82</v>
      </c>
      <c r="E1291" s="51" t="s">
        <v>81</v>
      </c>
      <c r="F1291" s="53" t="s">
        <v>80</v>
      </c>
      <c r="G1291" s="53">
        <v>2592</v>
      </c>
    </row>
    <row r="1292" spans="1:7">
      <c r="A1292" s="53">
        <v>80354912</v>
      </c>
      <c r="B1292" s="53">
        <v>34</v>
      </c>
      <c r="C1292" s="53" t="s">
        <v>92</v>
      </c>
      <c r="D1292" s="53" t="s">
        <v>91</v>
      </c>
      <c r="E1292" s="51" t="s">
        <v>81</v>
      </c>
      <c r="F1292" s="53" t="s">
        <v>80</v>
      </c>
      <c r="G1292" s="53">
        <v>5346</v>
      </c>
    </row>
    <row r="1293" spans="1:7">
      <c r="A1293" s="53">
        <v>84190668</v>
      </c>
      <c r="B1293" s="53">
        <v>37</v>
      </c>
      <c r="C1293" s="53" t="s">
        <v>92</v>
      </c>
      <c r="D1293" s="53" t="s">
        <v>91</v>
      </c>
      <c r="E1293" s="51" t="s">
        <v>81</v>
      </c>
      <c r="F1293" s="53" t="s">
        <v>80</v>
      </c>
      <c r="G1293" s="53">
        <v>4213</v>
      </c>
    </row>
    <row r="1294" spans="1:7">
      <c r="A1294" s="53">
        <v>81299668</v>
      </c>
      <c r="B1294" s="53">
        <v>39</v>
      </c>
      <c r="C1294" s="53" t="s">
        <v>85</v>
      </c>
      <c r="D1294" s="53" t="s">
        <v>82</v>
      </c>
      <c r="E1294" s="51" t="s">
        <v>81</v>
      </c>
      <c r="F1294" s="53" t="s">
        <v>80</v>
      </c>
      <c r="G1294" s="53">
        <v>4127</v>
      </c>
    </row>
    <row r="1295" spans="1:7">
      <c r="A1295" s="53">
        <v>89928689</v>
      </c>
      <c r="B1295" s="53">
        <v>43</v>
      </c>
      <c r="C1295" s="53" t="s">
        <v>92</v>
      </c>
      <c r="D1295" s="53" t="s">
        <v>82</v>
      </c>
      <c r="E1295" s="51" t="s">
        <v>84</v>
      </c>
      <c r="F1295" s="53" t="s">
        <v>80</v>
      </c>
      <c r="G1295" s="53">
        <v>2438</v>
      </c>
    </row>
    <row r="1296" spans="1:7">
      <c r="A1296" s="53">
        <v>85429440</v>
      </c>
      <c r="B1296" s="53">
        <v>41</v>
      </c>
      <c r="C1296" s="53" t="s">
        <v>92</v>
      </c>
      <c r="D1296" s="53" t="s">
        <v>82</v>
      </c>
      <c r="E1296" s="51" t="s">
        <v>84</v>
      </c>
      <c r="F1296" s="53" t="s">
        <v>80</v>
      </c>
      <c r="G1296" s="53">
        <v>6870</v>
      </c>
    </row>
    <row r="1297" spans="1:7">
      <c r="A1297" s="53">
        <v>84291030</v>
      </c>
      <c r="B1297" s="53">
        <v>41</v>
      </c>
      <c r="C1297" s="53" t="s">
        <v>85</v>
      </c>
      <c r="D1297" s="53" t="s">
        <v>87</v>
      </c>
      <c r="E1297" s="51" t="s">
        <v>84</v>
      </c>
      <c r="F1297" s="53" t="s">
        <v>89</v>
      </c>
      <c r="G1297" s="53">
        <v>10447</v>
      </c>
    </row>
    <row r="1298" spans="1:7">
      <c r="A1298" s="53">
        <v>82606176</v>
      </c>
      <c r="B1298" s="53">
        <v>30</v>
      </c>
      <c r="C1298" s="53" t="s">
        <v>92</v>
      </c>
      <c r="D1298" s="53" t="s">
        <v>82</v>
      </c>
      <c r="E1298" s="51" t="s">
        <v>81</v>
      </c>
      <c r="F1298" s="53" t="s">
        <v>89</v>
      </c>
      <c r="G1298" s="53">
        <v>9667</v>
      </c>
    </row>
    <row r="1299" spans="1:7">
      <c r="A1299" s="53">
        <v>84185950</v>
      </c>
      <c r="B1299" s="53">
        <v>26</v>
      </c>
      <c r="C1299" s="53" t="s">
        <v>93</v>
      </c>
      <c r="D1299" s="53" t="s">
        <v>88</v>
      </c>
      <c r="E1299" s="51" t="s">
        <v>86</v>
      </c>
      <c r="F1299" s="53" t="s">
        <v>89</v>
      </c>
      <c r="G1299" s="53">
        <v>2148</v>
      </c>
    </row>
    <row r="1300" spans="1:7">
      <c r="A1300" s="53">
        <v>80757280</v>
      </c>
      <c r="B1300" s="53">
        <v>46</v>
      </c>
      <c r="C1300" s="53" t="s">
        <v>92</v>
      </c>
      <c r="D1300" s="53" t="s">
        <v>88</v>
      </c>
      <c r="E1300" s="51" t="s">
        <v>84</v>
      </c>
      <c r="F1300" s="53" t="s">
        <v>89</v>
      </c>
      <c r="G1300" s="53">
        <v>8926</v>
      </c>
    </row>
    <row r="1301" spans="1:7">
      <c r="A1301" s="53">
        <v>84213524</v>
      </c>
      <c r="B1301" s="53">
        <v>40</v>
      </c>
      <c r="C1301" s="53" t="s">
        <v>92</v>
      </c>
      <c r="D1301" s="53" t="s">
        <v>82</v>
      </c>
      <c r="E1301" s="51" t="s">
        <v>84</v>
      </c>
      <c r="F1301" s="53" t="s">
        <v>89</v>
      </c>
      <c r="G1301" s="53">
        <v>6513</v>
      </c>
    </row>
    <row r="1302" spans="1:7">
      <c r="A1302" s="53">
        <v>85404657</v>
      </c>
      <c r="B1302" s="53">
        <v>34</v>
      </c>
      <c r="C1302" s="53" t="s">
        <v>85</v>
      </c>
      <c r="D1302" s="53" t="s">
        <v>88</v>
      </c>
      <c r="E1302" s="51" t="s">
        <v>81</v>
      </c>
      <c r="F1302" s="53" t="s">
        <v>80</v>
      </c>
      <c r="G1302" s="53">
        <v>6799</v>
      </c>
    </row>
    <row r="1303" spans="1:7">
      <c r="A1303" s="53">
        <v>82501491</v>
      </c>
      <c r="B1303" s="53">
        <v>58</v>
      </c>
      <c r="C1303" s="53" t="s">
        <v>85</v>
      </c>
      <c r="D1303" s="53" t="s">
        <v>82</v>
      </c>
      <c r="E1303" s="51" t="s">
        <v>90</v>
      </c>
      <c r="F1303" s="53" t="s">
        <v>80</v>
      </c>
      <c r="G1303" s="53">
        <v>16291</v>
      </c>
    </row>
    <row r="1304" spans="1:7">
      <c r="A1304" s="53">
        <v>82973472</v>
      </c>
      <c r="B1304" s="53">
        <v>35</v>
      </c>
      <c r="C1304" s="53" t="s">
        <v>92</v>
      </c>
      <c r="D1304" s="53" t="s">
        <v>91</v>
      </c>
      <c r="E1304" s="51" t="s">
        <v>81</v>
      </c>
      <c r="F1304" s="53" t="s">
        <v>80</v>
      </c>
      <c r="G1304" s="53">
        <v>2705</v>
      </c>
    </row>
    <row r="1305" spans="1:7">
      <c r="A1305" s="53">
        <v>81512189</v>
      </c>
      <c r="B1305" s="53">
        <v>47</v>
      </c>
      <c r="C1305" s="53" t="s">
        <v>92</v>
      </c>
      <c r="D1305" s="53" t="s">
        <v>82</v>
      </c>
      <c r="E1305" s="51" t="s">
        <v>84</v>
      </c>
      <c r="F1305" s="53" t="s">
        <v>89</v>
      </c>
      <c r="G1305" s="53">
        <v>10333</v>
      </c>
    </row>
    <row r="1306" spans="1:7">
      <c r="A1306" s="53">
        <v>88306985</v>
      </c>
      <c r="B1306" s="53">
        <v>40</v>
      </c>
      <c r="C1306" s="53" t="s">
        <v>92</v>
      </c>
      <c r="D1306" s="53" t="s">
        <v>82</v>
      </c>
      <c r="E1306" s="51" t="s">
        <v>84</v>
      </c>
      <c r="F1306" s="53" t="s">
        <v>89</v>
      </c>
      <c r="G1306" s="53">
        <v>4448</v>
      </c>
    </row>
    <row r="1307" spans="1:7">
      <c r="A1307" s="53">
        <v>89165727</v>
      </c>
      <c r="B1307" s="53">
        <v>54</v>
      </c>
      <c r="C1307" s="53" t="s">
        <v>92</v>
      </c>
      <c r="D1307" s="53" t="s">
        <v>91</v>
      </c>
      <c r="E1307" s="51" t="s">
        <v>90</v>
      </c>
      <c r="F1307" s="53" t="s">
        <v>89</v>
      </c>
      <c r="G1307" s="53">
        <v>6854</v>
      </c>
    </row>
    <row r="1308" spans="1:7">
      <c r="A1308" s="53">
        <v>81979821</v>
      </c>
      <c r="B1308" s="53">
        <v>31</v>
      </c>
      <c r="C1308" s="53" t="s">
        <v>85</v>
      </c>
      <c r="D1308" s="53" t="s">
        <v>91</v>
      </c>
      <c r="E1308" s="51" t="s">
        <v>81</v>
      </c>
      <c r="F1308" s="53" t="s">
        <v>89</v>
      </c>
      <c r="G1308" s="53">
        <v>9637</v>
      </c>
    </row>
    <row r="1309" spans="1:7">
      <c r="A1309" s="53">
        <v>85868466</v>
      </c>
      <c r="B1309" s="53">
        <v>28</v>
      </c>
      <c r="C1309" s="53" t="s">
        <v>92</v>
      </c>
      <c r="D1309" s="53" t="s">
        <v>82</v>
      </c>
      <c r="E1309" s="51" t="s">
        <v>86</v>
      </c>
      <c r="F1309" s="53" t="s">
        <v>89</v>
      </c>
      <c r="G1309" s="53">
        <v>3591</v>
      </c>
    </row>
    <row r="1310" spans="1:7">
      <c r="A1310" s="53">
        <v>80450823</v>
      </c>
      <c r="B1310" s="53">
        <v>38</v>
      </c>
      <c r="C1310" s="53" t="s">
        <v>85</v>
      </c>
      <c r="D1310" s="53" t="s">
        <v>91</v>
      </c>
      <c r="E1310" s="51" t="s">
        <v>81</v>
      </c>
      <c r="F1310" s="53" t="s">
        <v>89</v>
      </c>
      <c r="G1310" s="53">
        <v>5405</v>
      </c>
    </row>
    <row r="1311" spans="1:7">
      <c r="A1311" s="53">
        <v>83279519</v>
      </c>
      <c r="B1311" s="53">
        <v>26</v>
      </c>
      <c r="C1311" s="53" t="s">
        <v>85</v>
      </c>
      <c r="D1311" s="53" t="s">
        <v>82</v>
      </c>
      <c r="E1311" s="51" t="s">
        <v>86</v>
      </c>
      <c r="F1311" s="53" t="s">
        <v>80</v>
      </c>
      <c r="G1311" s="53">
        <v>4684</v>
      </c>
    </row>
    <row r="1312" spans="1:7">
      <c r="A1312" s="53">
        <v>80158508</v>
      </c>
      <c r="B1312" s="53">
        <v>58</v>
      </c>
      <c r="C1312" s="53" t="s">
        <v>92</v>
      </c>
      <c r="D1312" s="53" t="s">
        <v>91</v>
      </c>
      <c r="E1312" s="51" t="s">
        <v>90</v>
      </c>
      <c r="F1312" s="53" t="s">
        <v>80</v>
      </c>
      <c r="G1312" s="53">
        <v>15787</v>
      </c>
    </row>
    <row r="1313" spans="1:7">
      <c r="A1313" s="53">
        <v>87147947</v>
      </c>
      <c r="B1313" s="53">
        <v>23</v>
      </c>
      <c r="C1313" s="53" t="s">
        <v>92</v>
      </c>
      <c r="D1313" s="53" t="s">
        <v>82</v>
      </c>
      <c r="E1313" s="51" t="s">
        <v>95</v>
      </c>
      <c r="F1313" s="53" t="s">
        <v>89</v>
      </c>
      <c r="G1313" s="53">
        <v>1514</v>
      </c>
    </row>
    <row r="1314" spans="1:7">
      <c r="A1314" s="53">
        <v>87835428</v>
      </c>
      <c r="B1314" s="53">
        <v>31</v>
      </c>
      <c r="C1314" s="53" t="s">
        <v>93</v>
      </c>
      <c r="D1314" s="53" t="s">
        <v>94</v>
      </c>
      <c r="E1314" s="51" t="s">
        <v>81</v>
      </c>
      <c r="F1314" s="53" t="s">
        <v>80</v>
      </c>
      <c r="G1314" s="53">
        <v>2956</v>
      </c>
    </row>
    <row r="1315" spans="1:7">
      <c r="A1315" s="53">
        <v>82508133</v>
      </c>
      <c r="B1315" s="53">
        <v>29</v>
      </c>
      <c r="C1315" s="53" t="s">
        <v>93</v>
      </c>
      <c r="D1315" s="53" t="s">
        <v>82</v>
      </c>
      <c r="E1315" s="51" t="s">
        <v>86</v>
      </c>
      <c r="F1315" s="53" t="s">
        <v>80</v>
      </c>
      <c r="G1315" s="53">
        <v>2335</v>
      </c>
    </row>
    <row r="1316" spans="1:7">
      <c r="A1316" s="53">
        <v>88248819</v>
      </c>
      <c r="B1316" s="53">
        <v>45</v>
      </c>
      <c r="C1316" s="53" t="s">
        <v>85</v>
      </c>
      <c r="D1316" s="53" t="s">
        <v>91</v>
      </c>
      <c r="E1316" s="51" t="s">
        <v>84</v>
      </c>
      <c r="F1316" s="53" t="s">
        <v>89</v>
      </c>
      <c r="G1316" s="53">
        <v>5154</v>
      </c>
    </row>
    <row r="1317" spans="1:7">
      <c r="A1317" s="53">
        <v>87884139</v>
      </c>
      <c r="B1317" s="53">
        <v>36</v>
      </c>
      <c r="C1317" s="53" t="s">
        <v>92</v>
      </c>
      <c r="D1317" s="53" t="s">
        <v>91</v>
      </c>
      <c r="E1317" s="51" t="s">
        <v>81</v>
      </c>
      <c r="F1317" s="53" t="s">
        <v>89</v>
      </c>
      <c r="G1317" s="53">
        <v>6962</v>
      </c>
    </row>
    <row r="1318" spans="1:7">
      <c r="A1318" s="53">
        <v>82280712</v>
      </c>
      <c r="B1318" s="53">
        <v>43</v>
      </c>
      <c r="C1318" s="53" t="s">
        <v>85</v>
      </c>
      <c r="D1318" s="53" t="s">
        <v>91</v>
      </c>
      <c r="E1318" s="51" t="s">
        <v>84</v>
      </c>
      <c r="F1318" s="53" t="s">
        <v>80</v>
      </c>
      <c r="G1318" s="53">
        <v>5675</v>
      </c>
    </row>
    <row r="1319" spans="1:7">
      <c r="A1319" s="53">
        <v>81740918</v>
      </c>
      <c r="B1319" s="53">
        <v>27</v>
      </c>
      <c r="C1319" s="53" t="s">
        <v>92</v>
      </c>
      <c r="D1319" s="53" t="s">
        <v>88</v>
      </c>
      <c r="E1319" s="51" t="s">
        <v>86</v>
      </c>
      <c r="F1319" s="53" t="s">
        <v>89</v>
      </c>
      <c r="G1319" s="53">
        <v>2379</v>
      </c>
    </row>
    <row r="1320" spans="1:7">
      <c r="A1320" s="53">
        <v>86363351</v>
      </c>
      <c r="B1320" s="53">
        <v>29</v>
      </c>
      <c r="C1320" s="53" t="s">
        <v>92</v>
      </c>
      <c r="D1320" s="53" t="s">
        <v>87</v>
      </c>
      <c r="E1320" s="51" t="s">
        <v>86</v>
      </c>
      <c r="F1320" s="53" t="s">
        <v>80</v>
      </c>
      <c r="G1320" s="53">
        <v>3812</v>
      </c>
    </row>
    <row r="1321" spans="1:7">
      <c r="A1321" s="53">
        <v>82418761</v>
      </c>
      <c r="B1321" s="53">
        <v>32</v>
      </c>
      <c r="C1321" s="53" t="s">
        <v>85</v>
      </c>
      <c r="D1321" s="53" t="s">
        <v>91</v>
      </c>
      <c r="E1321" s="51" t="s">
        <v>81</v>
      </c>
      <c r="F1321" s="53" t="s">
        <v>80</v>
      </c>
      <c r="G1321" s="53">
        <v>4648</v>
      </c>
    </row>
    <row r="1322" spans="1:7">
      <c r="A1322" s="53">
        <v>81859545</v>
      </c>
      <c r="B1322" s="53">
        <v>42</v>
      </c>
      <c r="C1322" s="53" t="s">
        <v>92</v>
      </c>
      <c r="D1322" s="53" t="s">
        <v>91</v>
      </c>
      <c r="E1322" s="51" t="s">
        <v>84</v>
      </c>
      <c r="F1322" s="53" t="s">
        <v>80</v>
      </c>
      <c r="G1322" s="53">
        <v>2936</v>
      </c>
    </row>
    <row r="1323" spans="1:7">
      <c r="A1323" s="53">
        <v>83763257</v>
      </c>
      <c r="B1323" s="53">
        <v>47</v>
      </c>
      <c r="C1323" s="53" t="s">
        <v>92</v>
      </c>
      <c r="D1323" s="53" t="s">
        <v>91</v>
      </c>
      <c r="E1323" s="51" t="s">
        <v>84</v>
      </c>
      <c r="F1323" s="53" t="s">
        <v>89</v>
      </c>
      <c r="G1323" s="53">
        <v>2105</v>
      </c>
    </row>
    <row r="1324" spans="1:7">
      <c r="A1324" s="53">
        <v>80725271</v>
      </c>
      <c r="B1324" s="53">
        <v>46</v>
      </c>
      <c r="C1324" s="53" t="s">
        <v>92</v>
      </c>
      <c r="D1324" s="53" t="s">
        <v>88</v>
      </c>
      <c r="E1324" s="51" t="s">
        <v>84</v>
      </c>
      <c r="F1324" s="53" t="s">
        <v>80</v>
      </c>
      <c r="G1324" s="53">
        <v>8578</v>
      </c>
    </row>
    <row r="1325" spans="1:7">
      <c r="A1325" s="53">
        <v>86294030</v>
      </c>
      <c r="B1325" s="53">
        <v>28</v>
      </c>
      <c r="C1325" s="53" t="s">
        <v>93</v>
      </c>
      <c r="D1325" s="53" t="s">
        <v>88</v>
      </c>
      <c r="E1325" s="51" t="s">
        <v>86</v>
      </c>
      <c r="F1325" s="53" t="s">
        <v>80</v>
      </c>
      <c r="G1325" s="53">
        <v>2706</v>
      </c>
    </row>
    <row r="1326" spans="1:7">
      <c r="A1326" s="53">
        <v>82434482</v>
      </c>
      <c r="B1326" s="53">
        <v>29</v>
      </c>
      <c r="C1326" s="53" t="s">
        <v>92</v>
      </c>
      <c r="D1326" s="53" t="s">
        <v>87</v>
      </c>
      <c r="E1326" s="51" t="s">
        <v>86</v>
      </c>
      <c r="F1326" s="53" t="s">
        <v>80</v>
      </c>
      <c r="G1326" s="53">
        <v>6384</v>
      </c>
    </row>
    <row r="1327" spans="1:7">
      <c r="A1327" s="53">
        <v>88058655</v>
      </c>
      <c r="B1327" s="53">
        <v>42</v>
      </c>
      <c r="C1327" s="53" t="s">
        <v>92</v>
      </c>
      <c r="D1327" s="53" t="s">
        <v>82</v>
      </c>
      <c r="E1327" s="51" t="s">
        <v>84</v>
      </c>
      <c r="F1327" s="53" t="s">
        <v>80</v>
      </c>
      <c r="G1327" s="53">
        <v>3968</v>
      </c>
    </row>
    <row r="1328" spans="1:7">
      <c r="A1328" s="53">
        <v>80390857</v>
      </c>
      <c r="B1328" s="53">
        <v>32</v>
      </c>
      <c r="C1328" s="53" t="s">
        <v>85</v>
      </c>
      <c r="D1328" s="53" t="s">
        <v>91</v>
      </c>
      <c r="E1328" s="51" t="s">
        <v>81</v>
      </c>
      <c r="F1328" s="53" t="s">
        <v>80</v>
      </c>
      <c r="G1328" s="53">
        <v>9907</v>
      </c>
    </row>
    <row r="1329" spans="1:7">
      <c r="A1329" s="53">
        <v>80956908</v>
      </c>
      <c r="B1329" s="53">
        <v>46</v>
      </c>
      <c r="C1329" s="53" t="s">
        <v>85</v>
      </c>
      <c r="D1329" s="53" t="s">
        <v>82</v>
      </c>
      <c r="E1329" s="51" t="s">
        <v>84</v>
      </c>
      <c r="F1329" s="53" t="s">
        <v>89</v>
      </c>
      <c r="G1329" s="53">
        <v>13225</v>
      </c>
    </row>
    <row r="1330" spans="1:7">
      <c r="A1330" s="53">
        <v>85122612</v>
      </c>
      <c r="B1330" s="53">
        <v>27</v>
      </c>
      <c r="C1330" s="53" t="s">
        <v>85</v>
      </c>
      <c r="D1330" s="53" t="s">
        <v>87</v>
      </c>
      <c r="E1330" s="51" t="s">
        <v>86</v>
      </c>
      <c r="F1330" s="53" t="s">
        <v>89</v>
      </c>
      <c r="G1330" s="53">
        <v>3540</v>
      </c>
    </row>
    <row r="1331" spans="1:7">
      <c r="A1331" s="53">
        <v>86953302</v>
      </c>
      <c r="B1331" s="53">
        <v>29</v>
      </c>
      <c r="C1331" s="53" t="s">
        <v>93</v>
      </c>
      <c r="D1331" s="53" t="s">
        <v>87</v>
      </c>
      <c r="E1331" s="51" t="s">
        <v>86</v>
      </c>
      <c r="F1331" s="53" t="s">
        <v>80</v>
      </c>
      <c r="G1331" s="53">
        <v>2804</v>
      </c>
    </row>
    <row r="1332" spans="1:7">
      <c r="A1332" s="53">
        <v>86210260</v>
      </c>
      <c r="B1332" s="53">
        <v>43</v>
      </c>
      <c r="C1332" s="53" t="s">
        <v>92</v>
      </c>
      <c r="D1332" s="53" t="s">
        <v>82</v>
      </c>
      <c r="E1332" s="51" t="s">
        <v>84</v>
      </c>
      <c r="F1332" s="53" t="s">
        <v>89</v>
      </c>
      <c r="G1332" s="53">
        <v>19392</v>
      </c>
    </row>
    <row r="1333" spans="1:7">
      <c r="A1333" s="53">
        <v>81021019</v>
      </c>
      <c r="B1333" s="53">
        <v>48</v>
      </c>
      <c r="C1333" s="53" t="s">
        <v>92</v>
      </c>
      <c r="D1333" s="53" t="s">
        <v>82</v>
      </c>
      <c r="E1333" s="51" t="s">
        <v>84</v>
      </c>
      <c r="F1333" s="53" t="s">
        <v>80</v>
      </c>
      <c r="G1333" s="53">
        <v>19665</v>
      </c>
    </row>
    <row r="1334" spans="1:7">
      <c r="A1334" s="53">
        <v>85348471</v>
      </c>
      <c r="B1334" s="53">
        <v>29</v>
      </c>
      <c r="C1334" s="53" t="s">
        <v>92</v>
      </c>
      <c r="D1334" s="53" t="s">
        <v>88</v>
      </c>
      <c r="E1334" s="51" t="s">
        <v>86</v>
      </c>
      <c r="F1334" s="53" t="s">
        <v>80</v>
      </c>
      <c r="G1334" s="53">
        <v>2439</v>
      </c>
    </row>
    <row r="1335" spans="1:7">
      <c r="A1335" s="53">
        <v>84959353</v>
      </c>
      <c r="B1335" s="53">
        <v>46</v>
      </c>
      <c r="C1335" s="53" t="s">
        <v>85</v>
      </c>
      <c r="D1335" s="53" t="s">
        <v>82</v>
      </c>
      <c r="E1335" s="51" t="s">
        <v>84</v>
      </c>
      <c r="F1335" s="53" t="s">
        <v>89</v>
      </c>
      <c r="G1335" s="53">
        <v>7314</v>
      </c>
    </row>
    <row r="1336" spans="1:7">
      <c r="A1336" s="53">
        <v>85188796</v>
      </c>
      <c r="B1336" s="53">
        <v>27</v>
      </c>
      <c r="C1336" s="53" t="s">
        <v>92</v>
      </c>
      <c r="D1336" s="53" t="s">
        <v>82</v>
      </c>
      <c r="E1336" s="51" t="s">
        <v>86</v>
      </c>
      <c r="F1336" s="53" t="s">
        <v>89</v>
      </c>
      <c r="G1336" s="53">
        <v>4774</v>
      </c>
    </row>
    <row r="1337" spans="1:7">
      <c r="A1337" s="53">
        <v>80324990</v>
      </c>
      <c r="B1337" s="53">
        <v>39</v>
      </c>
      <c r="C1337" s="53" t="s">
        <v>92</v>
      </c>
      <c r="D1337" s="53" t="s">
        <v>91</v>
      </c>
      <c r="E1337" s="51" t="s">
        <v>81</v>
      </c>
      <c r="F1337" s="53" t="s">
        <v>80</v>
      </c>
      <c r="G1337" s="53">
        <v>3902</v>
      </c>
    </row>
    <row r="1338" spans="1:7">
      <c r="A1338" s="53">
        <v>89993339</v>
      </c>
      <c r="B1338" s="53">
        <v>55</v>
      </c>
      <c r="C1338" s="53" t="s">
        <v>92</v>
      </c>
      <c r="D1338" s="53" t="s">
        <v>91</v>
      </c>
      <c r="E1338" s="51" t="s">
        <v>90</v>
      </c>
      <c r="F1338" s="53" t="s">
        <v>80</v>
      </c>
      <c r="G1338" s="53">
        <v>2662</v>
      </c>
    </row>
    <row r="1339" spans="1:7">
      <c r="A1339" s="53">
        <v>86678143</v>
      </c>
      <c r="B1339" s="53">
        <v>28</v>
      </c>
      <c r="C1339" s="53" t="s">
        <v>85</v>
      </c>
      <c r="D1339" s="53" t="s">
        <v>82</v>
      </c>
      <c r="E1339" s="51" t="s">
        <v>86</v>
      </c>
      <c r="F1339" s="53" t="s">
        <v>89</v>
      </c>
      <c r="G1339" s="53">
        <v>2856</v>
      </c>
    </row>
    <row r="1340" spans="1:7">
      <c r="A1340" s="53">
        <v>89292152</v>
      </c>
      <c r="B1340" s="53">
        <v>30</v>
      </c>
      <c r="C1340" s="53" t="s">
        <v>85</v>
      </c>
      <c r="D1340" s="53" t="s">
        <v>82</v>
      </c>
      <c r="E1340" s="51" t="s">
        <v>81</v>
      </c>
      <c r="F1340" s="53" t="s">
        <v>80</v>
      </c>
      <c r="G1340" s="53">
        <v>1081</v>
      </c>
    </row>
    <row r="1341" spans="1:7">
      <c r="A1341" s="53">
        <v>89627241</v>
      </c>
      <c r="B1341" s="53">
        <v>22</v>
      </c>
      <c r="C1341" s="53" t="s">
        <v>92</v>
      </c>
      <c r="D1341" s="53" t="s">
        <v>87</v>
      </c>
      <c r="E1341" s="51" t="s">
        <v>86</v>
      </c>
      <c r="F1341" s="53" t="s">
        <v>80</v>
      </c>
      <c r="G1341" s="53">
        <v>2472</v>
      </c>
    </row>
    <row r="1342" spans="1:7">
      <c r="A1342" s="53">
        <v>88143457</v>
      </c>
      <c r="B1342" s="53">
        <v>36</v>
      </c>
      <c r="C1342" s="53" t="s">
        <v>85</v>
      </c>
      <c r="D1342" s="53" t="s">
        <v>91</v>
      </c>
      <c r="E1342" s="51" t="s">
        <v>81</v>
      </c>
      <c r="F1342" s="53" t="s">
        <v>89</v>
      </c>
      <c r="G1342" s="53">
        <v>5673</v>
      </c>
    </row>
    <row r="1343" spans="1:7">
      <c r="A1343" s="53">
        <v>80465165</v>
      </c>
      <c r="B1343" s="53">
        <v>31</v>
      </c>
      <c r="C1343" s="53" t="s">
        <v>92</v>
      </c>
      <c r="D1343" s="53" t="s">
        <v>82</v>
      </c>
      <c r="E1343" s="51" t="s">
        <v>81</v>
      </c>
      <c r="F1343" s="53" t="s">
        <v>80</v>
      </c>
      <c r="G1343" s="53">
        <v>4197</v>
      </c>
    </row>
    <row r="1344" spans="1:7">
      <c r="A1344" s="53">
        <v>87594832</v>
      </c>
      <c r="B1344" s="53">
        <v>34</v>
      </c>
      <c r="C1344" s="53" t="s">
        <v>85</v>
      </c>
      <c r="D1344" s="53" t="s">
        <v>82</v>
      </c>
      <c r="E1344" s="51" t="s">
        <v>81</v>
      </c>
      <c r="F1344" s="53" t="s">
        <v>80</v>
      </c>
      <c r="G1344" s="53">
        <v>9713</v>
      </c>
    </row>
    <row r="1345" spans="1:7">
      <c r="A1345" s="53">
        <v>85277298</v>
      </c>
      <c r="B1345" s="53">
        <v>29</v>
      </c>
      <c r="C1345" s="53" t="s">
        <v>92</v>
      </c>
      <c r="D1345" s="53" t="s">
        <v>82</v>
      </c>
      <c r="E1345" s="51" t="s">
        <v>86</v>
      </c>
      <c r="F1345" s="53" t="s">
        <v>80</v>
      </c>
      <c r="G1345" s="53">
        <v>2062</v>
      </c>
    </row>
    <row r="1346" spans="1:7">
      <c r="A1346" s="53">
        <v>88179936</v>
      </c>
      <c r="B1346" s="53">
        <v>37</v>
      </c>
      <c r="C1346" s="53" t="s">
        <v>92</v>
      </c>
      <c r="D1346" s="53" t="s">
        <v>91</v>
      </c>
      <c r="E1346" s="51" t="s">
        <v>81</v>
      </c>
      <c r="F1346" s="53" t="s">
        <v>80</v>
      </c>
      <c r="G1346" s="53">
        <v>4284</v>
      </c>
    </row>
    <row r="1347" spans="1:7">
      <c r="A1347" s="53">
        <v>80559781</v>
      </c>
      <c r="B1347" s="53">
        <v>35</v>
      </c>
      <c r="C1347" s="53" t="s">
        <v>92</v>
      </c>
      <c r="D1347" s="53" t="s">
        <v>88</v>
      </c>
      <c r="E1347" s="51" t="s">
        <v>81</v>
      </c>
      <c r="F1347" s="53" t="s">
        <v>89</v>
      </c>
      <c r="G1347" s="53">
        <v>4788</v>
      </c>
    </row>
    <row r="1348" spans="1:7">
      <c r="A1348" s="53">
        <v>82847482</v>
      </c>
      <c r="B1348" s="53">
        <v>45</v>
      </c>
      <c r="C1348" s="53" t="s">
        <v>92</v>
      </c>
      <c r="D1348" s="53" t="s">
        <v>88</v>
      </c>
      <c r="E1348" s="51" t="s">
        <v>84</v>
      </c>
      <c r="F1348" s="53" t="s">
        <v>89</v>
      </c>
      <c r="G1348" s="53">
        <v>5906</v>
      </c>
    </row>
    <row r="1349" spans="1:7">
      <c r="A1349" s="53">
        <v>89893433</v>
      </c>
      <c r="B1349" s="53">
        <v>36</v>
      </c>
      <c r="C1349" s="53" t="s">
        <v>93</v>
      </c>
      <c r="D1349" s="53" t="s">
        <v>87</v>
      </c>
      <c r="E1349" s="51" t="s">
        <v>81</v>
      </c>
      <c r="F1349" s="53" t="s">
        <v>80</v>
      </c>
      <c r="G1349" s="53">
        <v>3886</v>
      </c>
    </row>
    <row r="1350" spans="1:7">
      <c r="A1350" s="53">
        <v>82190125</v>
      </c>
      <c r="B1350" s="53">
        <v>40</v>
      </c>
      <c r="C1350" s="53" t="s">
        <v>92</v>
      </c>
      <c r="D1350" s="53" t="s">
        <v>91</v>
      </c>
      <c r="E1350" s="51" t="s">
        <v>84</v>
      </c>
      <c r="F1350" s="53" t="s">
        <v>80</v>
      </c>
      <c r="G1350" s="53">
        <v>16823</v>
      </c>
    </row>
    <row r="1351" spans="1:7">
      <c r="A1351" s="53">
        <v>88776812</v>
      </c>
      <c r="B1351" s="53">
        <v>26</v>
      </c>
      <c r="C1351" s="53" t="s">
        <v>92</v>
      </c>
      <c r="D1351" s="53" t="s">
        <v>88</v>
      </c>
      <c r="E1351" s="51" t="s">
        <v>86</v>
      </c>
      <c r="F1351" s="53" t="s">
        <v>89</v>
      </c>
      <c r="G1351" s="53">
        <v>2933</v>
      </c>
    </row>
    <row r="1352" spans="1:7">
      <c r="A1352" s="53">
        <v>82889382</v>
      </c>
      <c r="B1352" s="53">
        <v>27</v>
      </c>
      <c r="C1352" s="53" t="s">
        <v>85</v>
      </c>
      <c r="D1352" s="53" t="s">
        <v>88</v>
      </c>
      <c r="E1352" s="51" t="s">
        <v>86</v>
      </c>
      <c r="F1352" s="53" t="s">
        <v>89</v>
      </c>
      <c r="G1352" s="53">
        <v>6500</v>
      </c>
    </row>
    <row r="1353" spans="1:7">
      <c r="A1353" s="53">
        <v>89624126</v>
      </c>
      <c r="B1353" s="53">
        <v>48</v>
      </c>
      <c r="C1353" s="53" t="s">
        <v>92</v>
      </c>
      <c r="D1353" s="53" t="s">
        <v>82</v>
      </c>
      <c r="E1353" s="51" t="s">
        <v>84</v>
      </c>
      <c r="F1353" s="53" t="s">
        <v>89</v>
      </c>
      <c r="G1353" s="53">
        <v>17174</v>
      </c>
    </row>
    <row r="1354" spans="1:7">
      <c r="A1354" s="53">
        <v>83253480</v>
      </c>
      <c r="B1354" s="53">
        <v>44</v>
      </c>
      <c r="C1354" s="53" t="s">
        <v>92</v>
      </c>
      <c r="D1354" s="53" t="s">
        <v>91</v>
      </c>
      <c r="E1354" s="51" t="s">
        <v>84</v>
      </c>
      <c r="F1354" s="53" t="s">
        <v>80</v>
      </c>
      <c r="G1354" s="53">
        <v>5033</v>
      </c>
    </row>
    <row r="1355" spans="1:7">
      <c r="A1355" s="53">
        <v>82776963</v>
      </c>
      <c r="B1355" s="53">
        <v>34</v>
      </c>
      <c r="C1355" s="53" t="s">
        <v>92</v>
      </c>
      <c r="D1355" s="53" t="s">
        <v>91</v>
      </c>
      <c r="E1355" s="51" t="s">
        <v>81</v>
      </c>
      <c r="F1355" s="53" t="s">
        <v>80</v>
      </c>
      <c r="G1355" s="53">
        <v>2307</v>
      </c>
    </row>
    <row r="1356" spans="1:7">
      <c r="A1356" s="53">
        <v>86031676</v>
      </c>
      <c r="B1356" s="53">
        <v>56</v>
      </c>
      <c r="C1356" s="53" t="s">
        <v>92</v>
      </c>
      <c r="D1356" s="53" t="s">
        <v>88</v>
      </c>
      <c r="E1356" s="51" t="s">
        <v>90</v>
      </c>
      <c r="F1356" s="53" t="s">
        <v>80</v>
      </c>
      <c r="G1356" s="53">
        <v>2587</v>
      </c>
    </row>
    <row r="1357" spans="1:7">
      <c r="A1357" s="53">
        <v>83014917</v>
      </c>
      <c r="B1357" s="53">
        <v>36</v>
      </c>
      <c r="C1357" s="53" t="s">
        <v>85</v>
      </c>
      <c r="D1357" s="53" t="s">
        <v>88</v>
      </c>
      <c r="E1357" s="51" t="s">
        <v>81</v>
      </c>
      <c r="F1357" s="53" t="s">
        <v>80</v>
      </c>
      <c r="G1357" s="53">
        <v>5507</v>
      </c>
    </row>
    <row r="1358" spans="1:7">
      <c r="A1358" s="53">
        <v>86170565</v>
      </c>
      <c r="B1358" s="53">
        <v>41</v>
      </c>
      <c r="C1358" s="53" t="s">
        <v>85</v>
      </c>
      <c r="D1358" s="53" t="s">
        <v>82</v>
      </c>
      <c r="E1358" s="51" t="s">
        <v>84</v>
      </c>
      <c r="F1358" s="53" t="s">
        <v>89</v>
      </c>
      <c r="G1358" s="53">
        <v>4393</v>
      </c>
    </row>
    <row r="1359" spans="1:7">
      <c r="A1359" s="53">
        <v>85746101</v>
      </c>
      <c r="B1359" s="53">
        <v>42</v>
      </c>
      <c r="C1359" s="53" t="s">
        <v>92</v>
      </c>
      <c r="D1359" s="53" t="s">
        <v>82</v>
      </c>
      <c r="E1359" s="51" t="s">
        <v>84</v>
      </c>
      <c r="F1359" s="53" t="s">
        <v>80</v>
      </c>
      <c r="G1359" s="53">
        <v>13348</v>
      </c>
    </row>
    <row r="1360" spans="1:7">
      <c r="A1360" s="53">
        <v>84515948</v>
      </c>
      <c r="B1360" s="53">
        <v>31</v>
      </c>
      <c r="C1360" s="53" t="s">
        <v>85</v>
      </c>
      <c r="D1360" s="53" t="s">
        <v>88</v>
      </c>
      <c r="E1360" s="51" t="s">
        <v>81</v>
      </c>
      <c r="F1360" s="53" t="s">
        <v>89</v>
      </c>
      <c r="G1360" s="53">
        <v>6583</v>
      </c>
    </row>
    <row r="1361" spans="1:7">
      <c r="A1361" s="53">
        <v>89158570</v>
      </c>
      <c r="B1361" s="53">
        <v>34</v>
      </c>
      <c r="C1361" s="53" t="s">
        <v>85</v>
      </c>
      <c r="D1361" s="53" t="s">
        <v>87</v>
      </c>
      <c r="E1361" s="51" t="s">
        <v>81</v>
      </c>
      <c r="F1361" s="53" t="s">
        <v>89</v>
      </c>
      <c r="G1361" s="53">
        <v>8103</v>
      </c>
    </row>
    <row r="1362" spans="1:7">
      <c r="A1362" s="53">
        <v>84316956</v>
      </c>
      <c r="B1362" s="53">
        <v>31</v>
      </c>
      <c r="C1362" s="53" t="s">
        <v>92</v>
      </c>
      <c r="D1362" s="53" t="s">
        <v>82</v>
      </c>
      <c r="E1362" s="51" t="s">
        <v>81</v>
      </c>
      <c r="F1362" s="53" t="s">
        <v>89</v>
      </c>
      <c r="G1362" s="53">
        <v>3978</v>
      </c>
    </row>
    <row r="1363" spans="1:7">
      <c r="A1363" s="53">
        <v>85059115</v>
      </c>
      <c r="B1363" s="53">
        <v>26</v>
      </c>
      <c r="C1363" s="53" t="s">
        <v>92</v>
      </c>
      <c r="D1363" s="53" t="s">
        <v>82</v>
      </c>
      <c r="E1363" s="51" t="s">
        <v>86</v>
      </c>
      <c r="F1363" s="53" t="s">
        <v>80</v>
      </c>
      <c r="G1363" s="53">
        <v>2544</v>
      </c>
    </row>
    <row r="1364" spans="1:7">
      <c r="A1364" s="53">
        <v>87736142</v>
      </c>
      <c r="B1364" s="53">
        <v>45</v>
      </c>
      <c r="C1364" s="53" t="s">
        <v>92</v>
      </c>
      <c r="D1364" s="53" t="s">
        <v>91</v>
      </c>
      <c r="E1364" s="51" t="s">
        <v>84</v>
      </c>
      <c r="F1364" s="53" t="s">
        <v>80</v>
      </c>
      <c r="G1364" s="53">
        <v>5399</v>
      </c>
    </row>
    <row r="1365" spans="1:7">
      <c r="A1365" s="53">
        <v>81887216</v>
      </c>
      <c r="B1365" s="53">
        <v>33</v>
      </c>
      <c r="C1365" s="53" t="s">
        <v>85</v>
      </c>
      <c r="D1365" s="53" t="s">
        <v>91</v>
      </c>
      <c r="E1365" s="51" t="s">
        <v>81</v>
      </c>
      <c r="F1365" s="53" t="s">
        <v>80</v>
      </c>
      <c r="G1365" s="53">
        <v>5487</v>
      </c>
    </row>
    <row r="1366" spans="1:7">
      <c r="A1366" s="53">
        <v>88802228</v>
      </c>
      <c r="B1366" s="53">
        <v>28</v>
      </c>
      <c r="C1366" s="53" t="s">
        <v>85</v>
      </c>
      <c r="D1366" s="53" t="s">
        <v>88</v>
      </c>
      <c r="E1366" s="51" t="s">
        <v>86</v>
      </c>
      <c r="F1366" s="53" t="s">
        <v>80</v>
      </c>
      <c r="G1366" s="53">
        <v>6834</v>
      </c>
    </row>
    <row r="1367" spans="1:7">
      <c r="A1367" s="53">
        <v>83395000</v>
      </c>
      <c r="B1367" s="53">
        <v>29</v>
      </c>
      <c r="C1367" s="53" t="s">
        <v>85</v>
      </c>
      <c r="D1367" s="53" t="s">
        <v>82</v>
      </c>
      <c r="E1367" s="51" t="s">
        <v>86</v>
      </c>
      <c r="F1367" s="53" t="s">
        <v>80</v>
      </c>
      <c r="G1367" s="53">
        <v>1091</v>
      </c>
    </row>
    <row r="1368" spans="1:7">
      <c r="A1368" s="53">
        <v>87086956</v>
      </c>
      <c r="B1368" s="53">
        <v>39</v>
      </c>
      <c r="C1368" s="53" t="s">
        <v>85</v>
      </c>
      <c r="D1368" s="53" t="s">
        <v>91</v>
      </c>
      <c r="E1368" s="51" t="s">
        <v>81</v>
      </c>
      <c r="F1368" s="53" t="s">
        <v>89</v>
      </c>
      <c r="G1368" s="53">
        <v>5736</v>
      </c>
    </row>
    <row r="1369" spans="1:7">
      <c r="A1369" s="53">
        <v>80809182</v>
      </c>
      <c r="B1369" s="53">
        <v>27</v>
      </c>
      <c r="C1369" s="53" t="s">
        <v>92</v>
      </c>
      <c r="D1369" s="53" t="s">
        <v>91</v>
      </c>
      <c r="E1369" s="51" t="s">
        <v>86</v>
      </c>
      <c r="F1369" s="53" t="s">
        <v>80</v>
      </c>
      <c r="G1369" s="53">
        <v>2226</v>
      </c>
    </row>
    <row r="1370" spans="1:7">
      <c r="A1370" s="53">
        <v>85949628</v>
      </c>
      <c r="B1370" s="53">
        <v>34</v>
      </c>
      <c r="C1370" s="53" t="s">
        <v>92</v>
      </c>
      <c r="D1370" s="53" t="s">
        <v>91</v>
      </c>
      <c r="E1370" s="51" t="s">
        <v>81</v>
      </c>
      <c r="F1370" s="53" t="s">
        <v>80</v>
      </c>
      <c r="G1370" s="53">
        <v>5747</v>
      </c>
    </row>
    <row r="1371" spans="1:7">
      <c r="A1371" s="53">
        <v>87840430</v>
      </c>
      <c r="B1371" s="53">
        <v>28</v>
      </c>
      <c r="C1371" s="53" t="s">
        <v>85</v>
      </c>
      <c r="D1371" s="53" t="s">
        <v>88</v>
      </c>
      <c r="E1371" s="51" t="s">
        <v>86</v>
      </c>
      <c r="F1371" s="53" t="s">
        <v>89</v>
      </c>
      <c r="G1371" s="53">
        <v>9854</v>
      </c>
    </row>
    <row r="1372" spans="1:7">
      <c r="A1372" s="53">
        <v>80868182</v>
      </c>
      <c r="B1372" s="53">
        <v>47</v>
      </c>
      <c r="C1372" s="53" t="s">
        <v>92</v>
      </c>
      <c r="D1372" s="53" t="s">
        <v>91</v>
      </c>
      <c r="E1372" s="51" t="s">
        <v>84</v>
      </c>
      <c r="F1372" s="53" t="s">
        <v>80</v>
      </c>
      <c r="G1372" s="53">
        <v>5467</v>
      </c>
    </row>
    <row r="1373" spans="1:7">
      <c r="A1373" s="53">
        <v>87262173</v>
      </c>
      <c r="B1373" s="53">
        <v>56</v>
      </c>
      <c r="C1373" s="53" t="s">
        <v>85</v>
      </c>
      <c r="D1373" s="53" t="s">
        <v>94</v>
      </c>
      <c r="E1373" s="51" t="s">
        <v>90</v>
      </c>
      <c r="F1373" s="53" t="s">
        <v>89</v>
      </c>
      <c r="G1373" s="53">
        <v>5380</v>
      </c>
    </row>
    <row r="1374" spans="1:7">
      <c r="A1374" s="53">
        <v>80880903</v>
      </c>
      <c r="B1374" s="53">
        <v>39</v>
      </c>
      <c r="C1374" s="53" t="s">
        <v>92</v>
      </c>
      <c r="D1374" s="53" t="s">
        <v>88</v>
      </c>
      <c r="E1374" s="51" t="s">
        <v>81</v>
      </c>
      <c r="F1374" s="53" t="s">
        <v>80</v>
      </c>
      <c r="G1374" s="53">
        <v>5151</v>
      </c>
    </row>
    <row r="1375" spans="1:7">
      <c r="A1375" s="53">
        <v>81567334</v>
      </c>
      <c r="B1375" s="53">
        <v>38</v>
      </c>
      <c r="C1375" s="53" t="s">
        <v>92</v>
      </c>
      <c r="D1375" s="53" t="s">
        <v>82</v>
      </c>
      <c r="E1375" s="51" t="s">
        <v>81</v>
      </c>
      <c r="F1375" s="53" t="s">
        <v>89</v>
      </c>
      <c r="G1375" s="53">
        <v>2133</v>
      </c>
    </row>
    <row r="1376" spans="1:7">
      <c r="A1376" s="53">
        <v>83065444</v>
      </c>
      <c r="B1376" s="53">
        <v>58</v>
      </c>
      <c r="C1376" s="53" t="s">
        <v>85</v>
      </c>
      <c r="D1376" s="53" t="s">
        <v>82</v>
      </c>
      <c r="E1376" s="51" t="s">
        <v>90</v>
      </c>
      <c r="F1376" s="53" t="s">
        <v>89</v>
      </c>
      <c r="G1376" s="53">
        <v>17875</v>
      </c>
    </row>
    <row r="1377" spans="1:7">
      <c r="A1377" s="53">
        <v>81197791</v>
      </c>
      <c r="B1377" s="53">
        <v>32</v>
      </c>
      <c r="C1377" s="53" t="s">
        <v>92</v>
      </c>
      <c r="D1377" s="53" t="s">
        <v>88</v>
      </c>
      <c r="E1377" s="51" t="s">
        <v>81</v>
      </c>
      <c r="F1377" s="53" t="s">
        <v>89</v>
      </c>
      <c r="G1377" s="53">
        <v>2432</v>
      </c>
    </row>
    <row r="1378" spans="1:7">
      <c r="A1378" s="53">
        <v>87135190</v>
      </c>
      <c r="B1378" s="53">
        <v>38</v>
      </c>
      <c r="C1378" s="53" t="s">
        <v>92</v>
      </c>
      <c r="D1378" s="53" t="s">
        <v>88</v>
      </c>
      <c r="E1378" s="51" t="s">
        <v>81</v>
      </c>
      <c r="F1378" s="53" t="s">
        <v>80</v>
      </c>
      <c r="G1378" s="53">
        <v>4771</v>
      </c>
    </row>
    <row r="1379" spans="1:7">
      <c r="A1379" s="53">
        <v>84590136</v>
      </c>
      <c r="B1379" s="53">
        <v>49</v>
      </c>
      <c r="C1379" s="53" t="s">
        <v>92</v>
      </c>
      <c r="D1379" s="53" t="s">
        <v>87</v>
      </c>
      <c r="E1379" s="51" t="s">
        <v>84</v>
      </c>
      <c r="F1379" s="53" t="s">
        <v>80</v>
      </c>
      <c r="G1379" s="53">
        <v>19161</v>
      </c>
    </row>
    <row r="1380" spans="1:7">
      <c r="A1380" s="53">
        <v>85705892</v>
      </c>
      <c r="B1380" s="53">
        <v>42</v>
      </c>
      <c r="C1380" s="53" t="s">
        <v>85</v>
      </c>
      <c r="D1380" s="53" t="s">
        <v>91</v>
      </c>
      <c r="E1380" s="51" t="s">
        <v>84</v>
      </c>
      <c r="F1380" s="53" t="s">
        <v>80</v>
      </c>
      <c r="G1380" s="53">
        <v>5087</v>
      </c>
    </row>
    <row r="1381" spans="1:7">
      <c r="A1381" s="53">
        <v>83693275</v>
      </c>
      <c r="B1381" s="53">
        <v>27</v>
      </c>
      <c r="C1381" s="53" t="s">
        <v>93</v>
      </c>
      <c r="D1381" s="53" t="s">
        <v>82</v>
      </c>
      <c r="E1381" s="51" t="s">
        <v>86</v>
      </c>
      <c r="F1381" s="53" t="s">
        <v>89</v>
      </c>
      <c r="G1381" s="53">
        <v>2863</v>
      </c>
    </row>
    <row r="1382" spans="1:7">
      <c r="A1382" s="53">
        <v>83100650</v>
      </c>
      <c r="B1382" s="53">
        <v>35</v>
      </c>
      <c r="C1382" s="53" t="s">
        <v>85</v>
      </c>
      <c r="D1382" s="53" t="s">
        <v>91</v>
      </c>
      <c r="E1382" s="51" t="s">
        <v>81</v>
      </c>
      <c r="F1382" s="53" t="s">
        <v>80</v>
      </c>
      <c r="G1382" s="53">
        <v>5561</v>
      </c>
    </row>
    <row r="1383" spans="1:7">
      <c r="A1383" s="53">
        <v>86017573</v>
      </c>
      <c r="B1383" s="53">
        <v>28</v>
      </c>
      <c r="C1383" s="53" t="s">
        <v>92</v>
      </c>
      <c r="D1383" s="53" t="s">
        <v>82</v>
      </c>
      <c r="E1383" s="51" t="s">
        <v>86</v>
      </c>
      <c r="F1383" s="53" t="s">
        <v>80</v>
      </c>
      <c r="G1383" s="53">
        <v>2144</v>
      </c>
    </row>
    <row r="1384" spans="1:7">
      <c r="A1384" s="53">
        <v>86918746</v>
      </c>
      <c r="B1384" s="53">
        <v>31</v>
      </c>
      <c r="C1384" s="53" t="s">
        <v>92</v>
      </c>
      <c r="D1384" s="53" t="s">
        <v>88</v>
      </c>
      <c r="E1384" s="51" t="s">
        <v>81</v>
      </c>
      <c r="F1384" s="53" t="s">
        <v>80</v>
      </c>
      <c r="G1384" s="53">
        <v>3065</v>
      </c>
    </row>
    <row r="1385" spans="1:7">
      <c r="A1385" s="53">
        <v>83541501</v>
      </c>
      <c r="B1385" s="53">
        <v>36</v>
      </c>
      <c r="C1385" s="53" t="s">
        <v>92</v>
      </c>
      <c r="D1385" s="53" t="s">
        <v>91</v>
      </c>
      <c r="E1385" s="51" t="s">
        <v>81</v>
      </c>
      <c r="F1385" s="53" t="s">
        <v>80</v>
      </c>
      <c r="G1385" s="53">
        <v>2810</v>
      </c>
    </row>
    <row r="1386" spans="1:7">
      <c r="A1386" s="53">
        <v>87676606</v>
      </c>
      <c r="B1386" s="53">
        <v>34</v>
      </c>
      <c r="C1386" s="53" t="s">
        <v>85</v>
      </c>
      <c r="D1386" s="53" t="s">
        <v>82</v>
      </c>
      <c r="E1386" s="51" t="s">
        <v>81</v>
      </c>
      <c r="F1386" s="53" t="s">
        <v>80</v>
      </c>
      <c r="G1386" s="53">
        <v>9888</v>
      </c>
    </row>
    <row r="1387" spans="1:7">
      <c r="A1387" s="53">
        <v>87513091</v>
      </c>
      <c r="B1387" s="53">
        <v>34</v>
      </c>
      <c r="C1387" s="53" t="s">
        <v>85</v>
      </c>
      <c r="D1387" s="53" t="s">
        <v>91</v>
      </c>
      <c r="E1387" s="51" t="s">
        <v>81</v>
      </c>
      <c r="F1387" s="53" t="s">
        <v>80</v>
      </c>
      <c r="G1387" s="53">
        <v>8628</v>
      </c>
    </row>
    <row r="1388" spans="1:7">
      <c r="A1388" s="53">
        <v>89649097</v>
      </c>
      <c r="B1388" s="53">
        <v>26</v>
      </c>
      <c r="C1388" s="53" t="s">
        <v>92</v>
      </c>
      <c r="D1388" s="53" t="s">
        <v>82</v>
      </c>
      <c r="E1388" s="51" t="s">
        <v>86</v>
      </c>
      <c r="F1388" s="53" t="s">
        <v>80</v>
      </c>
      <c r="G1388" s="53">
        <v>2867</v>
      </c>
    </row>
    <row r="1389" spans="1:7">
      <c r="A1389" s="53">
        <v>82444734</v>
      </c>
      <c r="B1389" s="53">
        <v>29</v>
      </c>
      <c r="C1389" s="53" t="s">
        <v>92</v>
      </c>
      <c r="D1389" s="53" t="s">
        <v>82</v>
      </c>
      <c r="E1389" s="51" t="s">
        <v>86</v>
      </c>
      <c r="F1389" s="53" t="s">
        <v>80</v>
      </c>
      <c r="G1389" s="53">
        <v>5373</v>
      </c>
    </row>
    <row r="1390" spans="1:7">
      <c r="A1390" s="53">
        <v>81478151</v>
      </c>
      <c r="B1390" s="53">
        <v>32</v>
      </c>
      <c r="C1390" s="53" t="s">
        <v>92</v>
      </c>
      <c r="D1390" s="53" t="s">
        <v>91</v>
      </c>
      <c r="E1390" s="51" t="s">
        <v>81</v>
      </c>
      <c r="F1390" s="53" t="s">
        <v>89</v>
      </c>
      <c r="G1390" s="53">
        <v>6667</v>
      </c>
    </row>
    <row r="1391" spans="1:7">
      <c r="A1391" s="53">
        <v>82885978</v>
      </c>
      <c r="B1391" s="53">
        <v>31</v>
      </c>
      <c r="C1391" s="53" t="s">
        <v>92</v>
      </c>
      <c r="D1391" s="53" t="s">
        <v>82</v>
      </c>
      <c r="E1391" s="51" t="s">
        <v>81</v>
      </c>
      <c r="F1391" s="53" t="s">
        <v>80</v>
      </c>
      <c r="G1391" s="53">
        <v>5003</v>
      </c>
    </row>
    <row r="1392" spans="1:7">
      <c r="A1392" s="53">
        <v>88930883</v>
      </c>
      <c r="B1392" s="53">
        <v>28</v>
      </c>
      <c r="C1392" s="53" t="s">
        <v>92</v>
      </c>
      <c r="D1392" s="53" t="s">
        <v>82</v>
      </c>
      <c r="E1392" s="51" t="s">
        <v>86</v>
      </c>
      <c r="F1392" s="53" t="s">
        <v>80</v>
      </c>
      <c r="G1392" s="53">
        <v>2367</v>
      </c>
    </row>
    <row r="1393" spans="1:7">
      <c r="A1393" s="53">
        <v>83230008</v>
      </c>
      <c r="B1393" s="53">
        <v>38</v>
      </c>
      <c r="C1393" s="53" t="s">
        <v>85</v>
      </c>
      <c r="D1393" s="53" t="s">
        <v>82</v>
      </c>
      <c r="E1393" s="51" t="s">
        <v>81</v>
      </c>
      <c r="F1393" s="53" t="s">
        <v>80</v>
      </c>
      <c r="G1393" s="53">
        <v>2858</v>
      </c>
    </row>
    <row r="1394" spans="1:7">
      <c r="A1394" s="53">
        <v>87003936</v>
      </c>
      <c r="B1394" s="53">
        <v>35</v>
      </c>
      <c r="C1394" s="53" t="s">
        <v>85</v>
      </c>
      <c r="D1394" s="53" t="s">
        <v>91</v>
      </c>
      <c r="E1394" s="51" t="s">
        <v>81</v>
      </c>
      <c r="F1394" s="53" t="s">
        <v>89</v>
      </c>
      <c r="G1394" s="53">
        <v>5204</v>
      </c>
    </row>
    <row r="1395" spans="1:7">
      <c r="A1395" s="53">
        <v>80981895</v>
      </c>
      <c r="B1395" s="53">
        <v>27</v>
      </c>
      <c r="C1395" s="53" t="s">
        <v>85</v>
      </c>
      <c r="D1395" s="53" t="s">
        <v>82</v>
      </c>
      <c r="E1395" s="51" t="s">
        <v>86</v>
      </c>
      <c r="F1395" s="53" t="s">
        <v>80</v>
      </c>
      <c r="G1395" s="53">
        <v>4105</v>
      </c>
    </row>
    <row r="1396" spans="1:7">
      <c r="A1396" s="53">
        <v>81833667</v>
      </c>
      <c r="B1396" s="53">
        <v>32</v>
      </c>
      <c r="C1396" s="53" t="s">
        <v>92</v>
      </c>
      <c r="D1396" s="53" t="s">
        <v>91</v>
      </c>
      <c r="E1396" s="51" t="s">
        <v>81</v>
      </c>
      <c r="F1396" s="53" t="s">
        <v>80</v>
      </c>
      <c r="G1396" s="53">
        <v>9679</v>
      </c>
    </row>
    <row r="1397" spans="1:7">
      <c r="A1397" s="53">
        <v>87657259</v>
      </c>
      <c r="B1397" s="53">
        <v>31</v>
      </c>
      <c r="C1397" s="53" t="s">
        <v>85</v>
      </c>
      <c r="D1397" s="53" t="s">
        <v>91</v>
      </c>
      <c r="E1397" s="51" t="s">
        <v>81</v>
      </c>
      <c r="F1397" s="53" t="s">
        <v>80</v>
      </c>
      <c r="G1397" s="53">
        <v>5617</v>
      </c>
    </row>
    <row r="1398" spans="1:7">
      <c r="A1398" s="53">
        <v>86617940</v>
      </c>
      <c r="B1398" s="53">
        <v>53</v>
      </c>
      <c r="C1398" s="53" t="s">
        <v>85</v>
      </c>
      <c r="D1398" s="53" t="s">
        <v>91</v>
      </c>
      <c r="E1398" s="51" t="s">
        <v>90</v>
      </c>
      <c r="F1398" s="53" t="s">
        <v>80</v>
      </c>
      <c r="G1398" s="53">
        <v>10448</v>
      </c>
    </row>
    <row r="1399" spans="1:7">
      <c r="A1399" s="53">
        <v>86137337</v>
      </c>
      <c r="B1399" s="53">
        <v>54</v>
      </c>
      <c r="C1399" s="53" t="s">
        <v>92</v>
      </c>
      <c r="D1399" s="53" t="s">
        <v>88</v>
      </c>
      <c r="E1399" s="51" t="s">
        <v>90</v>
      </c>
      <c r="F1399" s="53" t="s">
        <v>89</v>
      </c>
      <c r="G1399" s="53">
        <v>2897</v>
      </c>
    </row>
    <row r="1400" spans="1:7">
      <c r="A1400" s="53">
        <v>89575681</v>
      </c>
      <c r="B1400" s="53">
        <v>33</v>
      </c>
      <c r="C1400" s="53" t="s">
        <v>92</v>
      </c>
      <c r="D1400" s="53" t="s">
        <v>88</v>
      </c>
      <c r="E1400" s="51" t="s">
        <v>81</v>
      </c>
      <c r="F1400" s="53" t="s">
        <v>80</v>
      </c>
      <c r="G1400" s="53">
        <v>5968</v>
      </c>
    </row>
    <row r="1401" spans="1:7">
      <c r="A1401" s="53">
        <v>87587455</v>
      </c>
      <c r="B1401" s="53">
        <v>43</v>
      </c>
      <c r="C1401" s="53" t="s">
        <v>92</v>
      </c>
      <c r="D1401" s="53" t="s">
        <v>82</v>
      </c>
      <c r="E1401" s="51" t="s">
        <v>84</v>
      </c>
      <c r="F1401" s="53" t="s">
        <v>80</v>
      </c>
      <c r="G1401" s="53">
        <v>7510</v>
      </c>
    </row>
    <row r="1402" spans="1:7">
      <c r="A1402" s="53">
        <v>81072498</v>
      </c>
      <c r="B1402" s="53">
        <v>38</v>
      </c>
      <c r="C1402" s="53" t="s">
        <v>93</v>
      </c>
      <c r="D1402" s="53" t="s">
        <v>91</v>
      </c>
      <c r="E1402" s="51" t="s">
        <v>81</v>
      </c>
      <c r="F1402" s="53" t="s">
        <v>80</v>
      </c>
      <c r="G1402" s="53">
        <v>2991</v>
      </c>
    </row>
    <row r="1403" spans="1:7">
      <c r="A1403" s="53">
        <v>84321040</v>
      </c>
      <c r="B1403" s="53">
        <v>55</v>
      </c>
      <c r="C1403" s="53" t="s">
        <v>93</v>
      </c>
      <c r="D1403" s="53" t="s">
        <v>91</v>
      </c>
      <c r="E1403" s="51" t="s">
        <v>90</v>
      </c>
      <c r="F1403" s="53" t="s">
        <v>80</v>
      </c>
      <c r="G1403" s="53">
        <v>19636</v>
      </c>
    </row>
    <row r="1404" spans="1:7">
      <c r="A1404" s="53">
        <v>87828094</v>
      </c>
      <c r="B1404" s="53">
        <v>31</v>
      </c>
      <c r="C1404" s="53" t="s">
        <v>92</v>
      </c>
      <c r="D1404" s="53" t="s">
        <v>87</v>
      </c>
      <c r="E1404" s="51" t="s">
        <v>81</v>
      </c>
      <c r="F1404" s="53" t="s">
        <v>89</v>
      </c>
      <c r="G1404" s="53">
        <v>1129</v>
      </c>
    </row>
    <row r="1405" spans="1:7">
      <c r="A1405" s="53">
        <v>86078307</v>
      </c>
      <c r="B1405" s="53">
        <v>39</v>
      </c>
      <c r="C1405" s="53" t="s">
        <v>85</v>
      </c>
      <c r="D1405" s="53" t="s">
        <v>91</v>
      </c>
      <c r="E1405" s="51" t="s">
        <v>81</v>
      </c>
      <c r="F1405" s="53" t="s">
        <v>80</v>
      </c>
      <c r="G1405" s="53">
        <v>13341</v>
      </c>
    </row>
    <row r="1406" spans="1:7">
      <c r="A1406" s="53">
        <v>89948969</v>
      </c>
      <c r="B1406" s="53">
        <v>42</v>
      </c>
      <c r="C1406" s="53" t="s">
        <v>92</v>
      </c>
      <c r="D1406" s="53" t="s">
        <v>88</v>
      </c>
      <c r="E1406" s="51" t="s">
        <v>84</v>
      </c>
      <c r="F1406" s="53" t="s">
        <v>80</v>
      </c>
      <c r="G1406" s="53">
        <v>4332</v>
      </c>
    </row>
    <row r="1407" spans="1:7">
      <c r="A1407" s="53">
        <v>84332536</v>
      </c>
      <c r="B1407" s="53">
        <v>31</v>
      </c>
      <c r="C1407" s="53" t="s">
        <v>92</v>
      </c>
      <c r="D1407" s="53" t="s">
        <v>82</v>
      </c>
      <c r="E1407" s="51" t="s">
        <v>81</v>
      </c>
      <c r="F1407" s="53" t="s">
        <v>89</v>
      </c>
      <c r="G1407" s="53">
        <v>11031</v>
      </c>
    </row>
    <row r="1408" spans="1:7">
      <c r="A1408" s="53">
        <v>80180997</v>
      </c>
      <c r="B1408" s="53">
        <v>54</v>
      </c>
      <c r="C1408" s="53" t="s">
        <v>92</v>
      </c>
      <c r="D1408" s="53" t="s">
        <v>82</v>
      </c>
      <c r="E1408" s="51" t="s">
        <v>90</v>
      </c>
      <c r="F1408" s="53" t="s">
        <v>89</v>
      </c>
      <c r="G1408" s="53">
        <v>4440</v>
      </c>
    </row>
    <row r="1409" spans="1:7">
      <c r="A1409" s="53">
        <v>84562578</v>
      </c>
      <c r="B1409" s="53">
        <v>24</v>
      </c>
      <c r="C1409" s="53" t="s">
        <v>92</v>
      </c>
      <c r="D1409" s="53" t="s">
        <v>88</v>
      </c>
      <c r="E1409" s="51" t="s">
        <v>86</v>
      </c>
      <c r="F1409" s="53" t="s">
        <v>80</v>
      </c>
      <c r="G1409" s="53">
        <v>4617</v>
      </c>
    </row>
    <row r="1410" spans="1:7">
      <c r="A1410" s="53">
        <v>81820497</v>
      </c>
      <c r="B1410" s="53">
        <v>23</v>
      </c>
      <c r="C1410" s="53" t="s">
        <v>92</v>
      </c>
      <c r="D1410" s="53" t="s">
        <v>88</v>
      </c>
      <c r="E1410" s="51" t="s">
        <v>86</v>
      </c>
      <c r="F1410" s="53" t="s">
        <v>80</v>
      </c>
      <c r="G1410" s="53">
        <v>2647</v>
      </c>
    </row>
    <row r="1411" spans="1:7">
      <c r="A1411" s="53">
        <v>80617158</v>
      </c>
      <c r="B1411" s="53">
        <v>40</v>
      </c>
      <c r="C1411" s="53" t="s">
        <v>92</v>
      </c>
      <c r="D1411" s="53" t="s">
        <v>82</v>
      </c>
      <c r="E1411" s="51" t="s">
        <v>84</v>
      </c>
      <c r="F1411" s="53" t="s">
        <v>89</v>
      </c>
      <c r="G1411" s="53">
        <v>6323</v>
      </c>
    </row>
    <row r="1412" spans="1:7">
      <c r="A1412" s="53">
        <v>85294491</v>
      </c>
      <c r="B1412" s="53">
        <v>40</v>
      </c>
      <c r="C1412" s="53" t="s">
        <v>85</v>
      </c>
      <c r="D1412" s="53" t="s">
        <v>88</v>
      </c>
      <c r="E1412" s="51" t="s">
        <v>84</v>
      </c>
      <c r="F1412" s="53" t="s">
        <v>89</v>
      </c>
      <c r="G1412" s="53">
        <v>5677</v>
      </c>
    </row>
    <row r="1413" spans="1:7">
      <c r="A1413" s="53">
        <v>84392491</v>
      </c>
      <c r="B1413" s="53">
        <v>25</v>
      </c>
      <c r="C1413" s="53" t="s">
        <v>93</v>
      </c>
      <c r="D1413" s="53" t="s">
        <v>82</v>
      </c>
      <c r="E1413" s="51" t="s">
        <v>86</v>
      </c>
      <c r="F1413" s="53" t="s">
        <v>89</v>
      </c>
      <c r="G1413" s="53">
        <v>2187</v>
      </c>
    </row>
    <row r="1414" spans="1:7">
      <c r="A1414" s="53">
        <v>82940712</v>
      </c>
      <c r="B1414" s="53">
        <v>30</v>
      </c>
      <c r="C1414" s="53" t="s">
        <v>92</v>
      </c>
      <c r="D1414" s="53" t="s">
        <v>88</v>
      </c>
      <c r="E1414" s="51" t="s">
        <v>81</v>
      </c>
      <c r="F1414" s="53" t="s">
        <v>80</v>
      </c>
      <c r="G1414" s="53">
        <v>3748</v>
      </c>
    </row>
    <row r="1415" spans="1:7">
      <c r="A1415" s="53">
        <v>85508387</v>
      </c>
      <c r="B1415" s="53">
        <v>25</v>
      </c>
      <c r="C1415" s="53" t="s">
        <v>92</v>
      </c>
      <c r="D1415" s="53" t="s">
        <v>87</v>
      </c>
      <c r="E1415" s="51" t="s">
        <v>86</v>
      </c>
      <c r="F1415" s="53" t="s">
        <v>80</v>
      </c>
      <c r="G1415" s="53">
        <v>3977</v>
      </c>
    </row>
    <row r="1416" spans="1:7">
      <c r="A1416" s="53">
        <v>89196096</v>
      </c>
      <c r="B1416" s="53">
        <v>47</v>
      </c>
      <c r="C1416" s="53" t="s">
        <v>92</v>
      </c>
      <c r="D1416" s="53" t="s">
        <v>82</v>
      </c>
      <c r="E1416" s="51" t="s">
        <v>84</v>
      </c>
      <c r="F1416" s="53" t="s">
        <v>80</v>
      </c>
      <c r="G1416" s="53">
        <v>8633</v>
      </c>
    </row>
    <row r="1417" spans="1:7">
      <c r="A1417" s="53">
        <v>88585315</v>
      </c>
      <c r="B1417" s="53">
        <v>33</v>
      </c>
      <c r="C1417" s="53" t="s">
        <v>92</v>
      </c>
      <c r="D1417" s="53" t="s">
        <v>88</v>
      </c>
      <c r="E1417" s="51" t="s">
        <v>81</v>
      </c>
      <c r="F1417" s="53" t="s">
        <v>80</v>
      </c>
      <c r="G1417" s="53">
        <v>2008</v>
      </c>
    </row>
    <row r="1418" spans="1:7">
      <c r="A1418" s="53">
        <v>87424913</v>
      </c>
      <c r="B1418" s="53">
        <v>38</v>
      </c>
      <c r="C1418" s="53" t="s">
        <v>85</v>
      </c>
      <c r="D1418" s="53" t="s">
        <v>91</v>
      </c>
      <c r="E1418" s="51" t="s">
        <v>81</v>
      </c>
      <c r="F1418" s="53" t="s">
        <v>80</v>
      </c>
      <c r="G1418" s="53">
        <v>4440</v>
      </c>
    </row>
    <row r="1419" spans="1:7">
      <c r="A1419" s="53">
        <v>86487158</v>
      </c>
      <c r="B1419" s="53">
        <v>31</v>
      </c>
      <c r="C1419" s="53" t="s">
        <v>85</v>
      </c>
      <c r="D1419" s="53" t="s">
        <v>88</v>
      </c>
      <c r="E1419" s="51" t="s">
        <v>81</v>
      </c>
      <c r="F1419" s="53" t="s">
        <v>80</v>
      </c>
      <c r="G1419" s="53">
        <v>3067</v>
      </c>
    </row>
    <row r="1420" spans="1:7">
      <c r="A1420" s="53">
        <v>86325439</v>
      </c>
      <c r="B1420" s="53">
        <v>38</v>
      </c>
      <c r="C1420" s="53" t="s">
        <v>92</v>
      </c>
      <c r="D1420" s="53" t="s">
        <v>91</v>
      </c>
      <c r="E1420" s="51" t="s">
        <v>81</v>
      </c>
      <c r="F1420" s="53" t="s">
        <v>80</v>
      </c>
      <c r="G1420" s="53">
        <v>5321</v>
      </c>
    </row>
    <row r="1421" spans="1:7">
      <c r="A1421" s="53">
        <v>83988618</v>
      </c>
      <c r="B1421" s="53">
        <v>42</v>
      </c>
      <c r="C1421" s="53" t="s">
        <v>92</v>
      </c>
      <c r="D1421" s="53" t="s">
        <v>91</v>
      </c>
      <c r="E1421" s="51" t="s">
        <v>84</v>
      </c>
      <c r="F1421" s="53" t="s">
        <v>80</v>
      </c>
      <c r="G1421" s="53">
        <v>5410</v>
      </c>
    </row>
    <row r="1422" spans="1:7">
      <c r="A1422" s="53">
        <v>81781577</v>
      </c>
      <c r="B1422" s="53">
        <v>41</v>
      </c>
      <c r="C1422" s="53" t="s">
        <v>92</v>
      </c>
      <c r="D1422" s="53" t="s">
        <v>82</v>
      </c>
      <c r="E1422" s="51" t="s">
        <v>84</v>
      </c>
      <c r="F1422" s="53" t="s">
        <v>80</v>
      </c>
      <c r="G1422" s="53">
        <v>2782</v>
      </c>
    </row>
    <row r="1423" spans="1:7">
      <c r="A1423" s="53">
        <v>82906578</v>
      </c>
      <c r="B1423" s="53">
        <v>47</v>
      </c>
      <c r="C1423" s="53" t="s">
        <v>92</v>
      </c>
      <c r="D1423" s="53" t="s">
        <v>87</v>
      </c>
      <c r="E1423" s="51" t="s">
        <v>84</v>
      </c>
      <c r="F1423" s="53" t="s">
        <v>89</v>
      </c>
      <c r="G1423" s="53">
        <v>11957</v>
      </c>
    </row>
    <row r="1424" spans="1:7">
      <c r="A1424" s="53">
        <v>80325795</v>
      </c>
      <c r="B1424" s="53">
        <v>35</v>
      </c>
      <c r="C1424" s="53" t="s">
        <v>92</v>
      </c>
      <c r="D1424" s="53" t="s">
        <v>91</v>
      </c>
      <c r="E1424" s="51" t="s">
        <v>81</v>
      </c>
      <c r="F1424" s="53" t="s">
        <v>80</v>
      </c>
      <c r="G1424" s="53">
        <v>2660</v>
      </c>
    </row>
    <row r="1425" spans="1:7">
      <c r="A1425" s="53">
        <v>87948661</v>
      </c>
      <c r="B1425" s="53">
        <v>22</v>
      </c>
      <c r="C1425" s="53" t="s">
        <v>92</v>
      </c>
      <c r="D1425" s="53" t="s">
        <v>88</v>
      </c>
      <c r="E1425" s="51" t="s">
        <v>86</v>
      </c>
      <c r="F1425" s="53" t="s">
        <v>80</v>
      </c>
      <c r="G1425" s="53">
        <v>3375</v>
      </c>
    </row>
    <row r="1426" spans="1:7">
      <c r="A1426" s="53">
        <v>80049890</v>
      </c>
      <c r="B1426" s="53">
        <v>35</v>
      </c>
      <c r="C1426" s="53" t="s">
        <v>92</v>
      </c>
      <c r="D1426" s="53" t="s">
        <v>91</v>
      </c>
      <c r="E1426" s="51" t="s">
        <v>81</v>
      </c>
      <c r="F1426" s="53" t="s">
        <v>80</v>
      </c>
      <c r="G1426" s="53">
        <v>5098</v>
      </c>
    </row>
    <row r="1427" spans="1:7">
      <c r="A1427" s="53">
        <v>89414893</v>
      </c>
      <c r="B1427" s="53">
        <v>33</v>
      </c>
      <c r="C1427" s="53" t="s">
        <v>92</v>
      </c>
      <c r="D1427" s="53" t="s">
        <v>88</v>
      </c>
      <c r="E1427" s="51" t="s">
        <v>81</v>
      </c>
      <c r="F1427" s="53" t="s">
        <v>89</v>
      </c>
      <c r="G1427" s="53">
        <v>4878</v>
      </c>
    </row>
    <row r="1428" spans="1:7">
      <c r="A1428" s="53">
        <v>81302376</v>
      </c>
      <c r="B1428" s="53">
        <v>32</v>
      </c>
      <c r="C1428" s="53" t="s">
        <v>92</v>
      </c>
      <c r="D1428" s="53" t="s">
        <v>91</v>
      </c>
      <c r="E1428" s="51" t="s">
        <v>81</v>
      </c>
      <c r="F1428" s="53" t="s">
        <v>89</v>
      </c>
      <c r="G1428" s="53">
        <v>2837</v>
      </c>
    </row>
    <row r="1429" spans="1:7">
      <c r="A1429" s="53">
        <v>80429638</v>
      </c>
      <c r="B1429" s="53">
        <v>40</v>
      </c>
      <c r="C1429" s="53" t="s">
        <v>92</v>
      </c>
      <c r="D1429" s="53" t="s">
        <v>91</v>
      </c>
      <c r="E1429" s="51" t="s">
        <v>84</v>
      </c>
      <c r="F1429" s="53" t="s">
        <v>80</v>
      </c>
      <c r="G1429" s="53">
        <v>2406</v>
      </c>
    </row>
    <row r="1430" spans="1:7">
      <c r="A1430" s="53">
        <v>83510802</v>
      </c>
      <c r="B1430" s="53">
        <v>32</v>
      </c>
      <c r="C1430" s="53" t="s">
        <v>85</v>
      </c>
      <c r="D1430" s="53" t="s">
        <v>91</v>
      </c>
      <c r="E1430" s="51" t="s">
        <v>81</v>
      </c>
      <c r="F1430" s="53" t="s">
        <v>80</v>
      </c>
      <c r="G1430" s="53">
        <v>2269</v>
      </c>
    </row>
    <row r="1431" spans="1:7">
      <c r="A1431" s="53">
        <v>85742660</v>
      </c>
      <c r="B1431" s="53">
        <v>39</v>
      </c>
      <c r="C1431" s="53" t="s">
        <v>92</v>
      </c>
      <c r="D1431" s="53" t="s">
        <v>87</v>
      </c>
      <c r="E1431" s="51" t="s">
        <v>81</v>
      </c>
      <c r="F1431" s="53" t="s">
        <v>80</v>
      </c>
      <c r="G1431" s="53">
        <v>4108</v>
      </c>
    </row>
    <row r="1432" spans="1:7">
      <c r="A1432" s="53">
        <v>84802084</v>
      </c>
      <c r="B1432" s="53">
        <v>38</v>
      </c>
      <c r="C1432" s="53" t="s">
        <v>92</v>
      </c>
      <c r="D1432" s="53" t="s">
        <v>82</v>
      </c>
      <c r="E1432" s="51" t="s">
        <v>81</v>
      </c>
      <c r="F1432" s="53" t="s">
        <v>89</v>
      </c>
      <c r="G1432" s="53">
        <v>13206</v>
      </c>
    </row>
    <row r="1433" spans="1:7">
      <c r="A1433" s="53">
        <v>86080226</v>
      </c>
      <c r="B1433" s="53">
        <v>32</v>
      </c>
      <c r="C1433" s="53" t="s">
        <v>85</v>
      </c>
      <c r="D1433" s="53" t="s">
        <v>91</v>
      </c>
      <c r="E1433" s="51" t="s">
        <v>81</v>
      </c>
      <c r="F1433" s="53" t="s">
        <v>89</v>
      </c>
      <c r="G1433" s="53">
        <v>10422</v>
      </c>
    </row>
    <row r="1434" spans="1:7">
      <c r="A1434" s="53">
        <v>89786848</v>
      </c>
      <c r="B1434" s="53">
        <v>37</v>
      </c>
      <c r="C1434" s="53" t="s">
        <v>92</v>
      </c>
      <c r="D1434" s="53" t="s">
        <v>82</v>
      </c>
      <c r="E1434" s="51" t="s">
        <v>81</v>
      </c>
      <c r="F1434" s="53" t="s">
        <v>89</v>
      </c>
      <c r="G1434" s="53">
        <v>13744</v>
      </c>
    </row>
    <row r="1435" spans="1:7">
      <c r="A1435" s="53">
        <v>80800856</v>
      </c>
      <c r="B1435" s="53">
        <v>25</v>
      </c>
      <c r="C1435" s="53" t="s">
        <v>85</v>
      </c>
      <c r="D1435" s="53" t="s">
        <v>88</v>
      </c>
      <c r="E1435" s="51" t="s">
        <v>86</v>
      </c>
      <c r="F1435" s="53" t="s">
        <v>89</v>
      </c>
      <c r="G1435" s="53">
        <v>4907</v>
      </c>
    </row>
    <row r="1436" spans="1:7">
      <c r="A1436" s="53">
        <v>85765310</v>
      </c>
      <c r="B1436" s="53">
        <v>52</v>
      </c>
      <c r="C1436" s="53" t="s">
        <v>85</v>
      </c>
      <c r="D1436" s="53" t="s">
        <v>91</v>
      </c>
      <c r="E1436" s="51" t="s">
        <v>90</v>
      </c>
      <c r="F1436" s="53" t="s">
        <v>80</v>
      </c>
      <c r="G1436" s="53">
        <v>3482</v>
      </c>
    </row>
    <row r="1437" spans="1:7">
      <c r="A1437" s="53">
        <v>89184237</v>
      </c>
      <c r="B1437" s="53">
        <v>44</v>
      </c>
      <c r="C1437" s="53" t="s">
        <v>92</v>
      </c>
      <c r="D1437" s="53" t="s">
        <v>82</v>
      </c>
      <c r="E1437" s="51" t="s">
        <v>84</v>
      </c>
      <c r="F1437" s="53" t="s">
        <v>80</v>
      </c>
      <c r="G1437" s="53">
        <v>2436</v>
      </c>
    </row>
    <row r="1438" spans="1:7">
      <c r="A1438" s="53">
        <v>85463085</v>
      </c>
      <c r="B1438" s="53">
        <v>21</v>
      </c>
      <c r="C1438" s="53" t="s">
        <v>85</v>
      </c>
      <c r="D1438" s="53" t="s">
        <v>87</v>
      </c>
      <c r="E1438" s="51" t="s">
        <v>86</v>
      </c>
      <c r="F1438" s="53" t="s">
        <v>80</v>
      </c>
      <c r="G1438" s="53">
        <v>2380</v>
      </c>
    </row>
    <row r="1439" spans="1:7">
      <c r="A1439" s="53">
        <v>87308249</v>
      </c>
      <c r="B1439" s="53">
        <v>39</v>
      </c>
      <c r="C1439" s="53" t="s">
        <v>92</v>
      </c>
      <c r="D1439" s="53" t="s">
        <v>82</v>
      </c>
      <c r="E1439" s="51" t="s">
        <v>81</v>
      </c>
      <c r="F1439" s="53" t="s">
        <v>80</v>
      </c>
      <c r="G1439" s="53">
        <v>19431</v>
      </c>
    </row>
    <row r="1440" spans="1:7">
      <c r="A1440" s="53">
        <v>86527334</v>
      </c>
      <c r="B1440" s="53">
        <v>23</v>
      </c>
      <c r="C1440" s="53" t="s">
        <v>85</v>
      </c>
      <c r="D1440" s="53" t="s">
        <v>82</v>
      </c>
      <c r="E1440" s="51" t="s">
        <v>86</v>
      </c>
      <c r="F1440" s="53" t="s">
        <v>80</v>
      </c>
      <c r="G1440" s="53">
        <v>1790</v>
      </c>
    </row>
    <row r="1441" spans="1:7">
      <c r="A1441" s="53">
        <v>86339901</v>
      </c>
      <c r="B1441" s="53">
        <v>36</v>
      </c>
      <c r="C1441" s="53" t="s">
        <v>85</v>
      </c>
      <c r="D1441" s="53" t="s">
        <v>82</v>
      </c>
      <c r="E1441" s="51" t="s">
        <v>81</v>
      </c>
      <c r="F1441" s="53" t="s">
        <v>89</v>
      </c>
      <c r="G1441" s="53">
        <v>7644</v>
      </c>
    </row>
    <row r="1442" spans="1:7">
      <c r="A1442" s="53">
        <v>84759751</v>
      </c>
      <c r="B1442" s="53">
        <v>36</v>
      </c>
      <c r="C1442" s="53" t="s">
        <v>92</v>
      </c>
      <c r="D1442" s="53" t="s">
        <v>88</v>
      </c>
      <c r="E1442" s="51" t="s">
        <v>81</v>
      </c>
      <c r="F1442" s="53" t="s">
        <v>89</v>
      </c>
      <c r="G1442" s="53">
        <v>5131</v>
      </c>
    </row>
    <row r="1443" spans="1:7">
      <c r="A1443" s="53">
        <v>84907016</v>
      </c>
      <c r="B1443" s="53">
        <v>56</v>
      </c>
      <c r="C1443" s="53" t="s">
        <v>92</v>
      </c>
      <c r="D1443" s="53" t="s">
        <v>91</v>
      </c>
      <c r="E1443" s="51" t="s">
        <v>90</v>
      </c>
      <c r="F1443" s="53" t="s">
        <v>80</v>
      </c>
      <c r="G1443" s="53">
        <v>6306</v>
      </c>
    </row>
    <row r="1444" spans="1:7">
      <c r="A1444" s="53">
        <v>89636606</v>
      </c>
      <c r="B1444" s="53">
        <v>29</v>
      </c>
      <c r="C1444" s="53" t="s">
        <v>92</v>
      </c>
      <c r="D1444" s="53" t="s">
        <v>91</v>
      </c>
      <c r="E1444" s="51" t="s">
        <v>86</v>
      </c>
      <c r="F1444" s="53" t="s">
        <v>80</v>
      </c>
      <c r="G1444" s="53">
        <v>4787</v>
      </c>
    </row>
    <row r="1445" spans="1:7">
      <c r="A1445" s="53">
        <v>80044561</v>
      </c>
      <c r="B1445" s="53">
        <v>42</v>
      </c>
      <c r="C1445" s="53" t="s">
        <v>92</v>
      </c>
      <c r="D1445" s="53" t="s">
        <v>82</v>
      </c>
      <c r="E1445" s="51" t="s">
        <v>84</v>
      </c>
      <c r="F1445" s="53" t="s">
        <v>80</v>
      </c>
      <c r="G1445" s="53">
        <v>18880</v>
      </c>
    </row>
    <row r="1446" spans="1:7">
      <c r="A1446" s="53">
        <v>83935786</v>
      </c>
      <c r="B1446" s="53">
        <v>56</v>
      </c>
      <c r="C1446" s="53" t="s">
        <v>92</v>
      </c>
      <c r="D1446" s="53" t="s">
        <v>88</v>
      </c>
      <c r="E1446" s="51" t="s">
        <v>90</v>
      </c>
      <c r="F1446" s="53" t="s">
        <v>80</v>
      </c>
      <c r="G1446" s="53">
        <v>2339</v>
      </c>
    </row>
    <row r="1447" spans="1:7">
      <c r="A1447" s="53">
        <v>83309332</v>
      </c>
      <c r="B1447" s="53">
        <v>41</v>
      </c>
      <c r="C1447" s="53" t="s">
        <v>92</v>
      </c>
      <c r="D1447" s="53" t="s">
        <v>91</v>
      </c>
      <c r="E1447" s="51" t="s">
        <v>84</v>
      </c>
      <c r="F1447" s="53" t="s">
        <v>89</v>
      </c>
      <c r="G1447" s="53">
        <v>13570</v>
      </c>
    </row>
    <row r="1448" spans="1:7">
      <c r="A1448" s="53">
        <v>83976871</v>
      </c>
      <c r="B1448" s="53">
        <v>34</v>
      </c>
      <c r="C1448" s="53" t="s">
        <v>85</v>
      </c>
      <c r="D1448" s="53" t="s">
        <v>82</v>
      </c>
      <c r="E1448" s="51" t="s">
        <v>81</v>
      </c>
      <c r="F1448" s="53" t="s">
        <v>89</v>
      </c>
      <c r="G1448" s="53">
        <v>6712</v>
      </c>
    </row>
    <row r="1449" spans="1:7">
      <c r="A1449" s="53">
        <v>82357090</v>
      </c>
      <c r="B1449" s="53">
        <v>36</v>
      </c>
      <c r="C1449" s="53" t="s">
        <v>85</v>
      </c>
      <c r="D1449" s="53" t="s">
        <v>91</v>
      </c>
      <c r="E1449" s="51" t="s">
        <v>81</v>
      </c>
      <c r="F1449" s="53" t="s">
        <v>80</v>
      </c>
      <c r="G1449" s="53">
        <v>5406</v>
      </c>
    </row>
    <row r="1450" spans="1:7">
      <c r="A1450" s="53">
        <v>82046631</v>
      </c>
      <c r="B1450" s="53">
        <v>41</v>
      </c>
      <c r="C1450" s="53" t="s">
        <v>85</v>
      </c>
      <c r="D1450" s="53" t="s">
        <v>82</v>
      </c>
      <c r="E1450" s="51" t="s">
        <v>84</v>
      </c>
      <c r="F1450" s="53" t="s">
        <v>80</v>
      </c>
      <c r="G1450" s="53">
        <v>8938</v>
      </c>
    </row>
    <row r="1451" spans="1:7">
      <c r="A1451" s="53">
        <v>86468091</v>
      </c>
      <c r="B1451" s="53">
        <v>32</v>
      </c>
      <c r="C1451" s="53" t="s">
        <v>92</v>
      </c>
      <c r="D1451" s="53" t="s">
        <v>82</v>
      </c>
      <c r="E1451" s="51" t="s">
        <v>81</v>
      </c>
      <c r="F1451" s="53" t="s">
        <v>80</v>
      </c>
      <c r="G1451" s="53">
        <v>2439</v>
      </c>
    </row>
    <row r="1452" spans="1:7">
      <c r="A1452" s="53">
        <v>84530374</v>
      </c>
      <c r="B1452" s="53">
        <v>35</v>
      </c>
      <c r="C1452" s="53" t="s">
        <v>93</v>
      </c>
      <c r="D1452" s="53" t="s">
        <v>91</v>
      </c>
      <c r="E1452" s="51" t="s">
        <v>81</v>
      </c>
      <c r="F1452" s="53" t="s">
        <v>89</v>
      </c>
      <c r="G1452" s="53">
        <v>8837</v>
      </c>
    </row>
    <row r="1453" spans="1:7">
      <c r="A1453" s="53">
        <v>80022892</v>
      </c>
      <c r="B1453" s="53">
        <v>38</v>
      </c>
      <c r="C1453" s="53" t="s">
        <v>85</v>
      </c>
      <c r="D1453" s="53" t="s">
        <v>88</v>
      </c>
      <c r="E1453" s="51" t="s">
        <v>81</v>
      </c>
      <c r="F1453" s="53" t="s">
        <v>89</v>
      </c>
      <c r="G1453" s="53">
        <v>5343</v>
      </c>
    </row>
    <row r="1454" spans="1:7">
      <c r="A1454" s="53">
        <v>85168725</v>
      </c>
      <c r="B1454" s="53">
        <v>50</v>
      </c>
      <c r="C1454" s="53" t="s">
        <v>85</v>
      </c>
      <c r="D1454" s="53" t="s">
        <v>91</v>
      </c>
      <c r="E1454" s="51" t="s">
        <v>90</v>
      </c>
      <c r="F1454" s="53" t="s">
        <v>80</v>
      </c>
      <c r="G1454" s="53">
        <v>6728</v>
      </c>
    </row>
    <row r="1455" spans="1:7">
      <c r="A1455" s="53">
        <v>86886034</v>
      </c>
      <c r="B1455" s="53">
        <v>36</v>
      </c>
      <c r="C1455" s="53" t="s">
        <v>85</v>
      </c>
      <c r="D1455" s="53" t="s">
        <v>91</v>
      </c>
      <c r="E1455" s="51" t="s">
        <v>81</v>
      </c>
      <c r="F1455" s="53" t="s">
        <v>89</v>
      </c>
      <c r="G1455" s="53">
        <v>6652</v>
      </c>
    </row>
    <row r="1456" spans="1:7">
      <c r="A1456" s="53">
        <v>84769868</v>
      </c>
      <c r="B1456" s="53">
        <v>45</v>
      </c>
      <c r="C1456" s="53" t="s">
        <v>85</v>
      </c>
      <c r="D1456" s="53" t="s">
        <v>82</v>
      </c>
      <c r="E1456" s="51" t="s">
        <v>84</v>
      </c>
      <c r="F1456" s="53" t="s">
        <v>89</v>
      </c>
      <c r="G1456" s="53">
        <v>4850</v>
      </c>
    </row>
    <row r="1457" spans="1:7">
      <c r="A1457" s="53">
        <v>84277675</v>
      </c>
      <c r="B1457" s="53">
        <v>40</v>
      </c>
      <c r="C1457" s="53" t="s">
        <v>92</v>
      </c>
      <c r="D1457" s="53" t="s">
        <v>91</v>
      </c>
      <c r="E1457" s="51" t="s">
        <v>84</v>
      </c>
      <c r="F1457" s="53" t="s">
        <v>80</v>
      </c>
      <c r="G1457" s="53">
        <v>2809</v>
      </c>
    </row>
    <row r="1458" spans="1:7">
      <c r="A1458" s="53">
        <v>85540926</v>
      </c>
      <c r="B1458" s="53">
        <v>35</v>
      </c>
      <c r="C1458" s="53" t="s">
        <v>92</v>
      </c>
      <c r="D1458" s="53" t="s">
        <v>91</v>
      </c>
      <c r="E1458" s="51" t="s">
        <v>81</v>
      </c>
      <c r="F1458" s="53" t="s">
        <v>80</v>
      </c>
      <c r="G1458" s="53">
        <v>5689</v>
      </c>
    </row>
    <row r="1459" spans="1:7">
      <c r="A1459" s="53">
        <v>88811526</v>
      </c>
      <c r="B1459" s="53">
        <v>40</v>
      </c>
      <c r="C1459" s="53" t="s">
        <v>92</v>
      </c>
      <c r="D1459" s="53" t="s">
        <v>91</v>
      </c>
      <c r="E1459" s="51" t="s">
        <v>84</v>
      </c>
      <c r="F1459" s="53" t="s">
        <v>89</v>
      </c>
      <c r="G1459" s="53">
        <v>2001</v>
      </c>
    </row>
    <row r="1460" spans="1:7">
      <c r="A1460" s="53">
        <v>89623876</v>
      </c>
      <c r="B1460" s="53">
        <v>35</v>
      </c>
      <c r="C1460" s="53" t="s">
        <v>92</v>
      </c>
      <c r="D1460" s="53" t="s">
        <v>91</v>
      </c>
      <c r="E1460" s="51" t="s">
        <v>81</v>
      </c>
      <c r="F1460" s="53" t="s">
        <v>89</v>
      </c>
      <c r="G1460" s="53">
        <v>2977</v>
      </c>
    </row>
    <row r="1461" spans="1:7">
      <c r="A1461" s="53">
        <v>88765910</v>
      </c>
      <c r="B1461" s="53">
        <v>29</v>
      </c>
      <c r="C1461" s="53" t="s">
        <v>92</v>
      </c>
      <c r="D1461" s="53" t="s">
        <v>88</v>
      </c>
      <c r="E1461" s="51" t="s">
        <v>86</v>
      </c>
      <c r="F1461" s="53" t="s">
        <v>80</v>
      </c>
      <c r="G1461" s="53">
        <v>4025</v>
      </c>
    </row>
    <row r="1462" spans="1:7">
      <c r="A1462" s="53">
        <v>87800286</v>
      </c>
      <c r="B1462" s="53">
        <v>29</v>
      </c>
      <c r="C1462" s="53" t="s">
        <v>92</v>
      </c>
      <c r="D1462" s="53" t="s">
        <v>91</v>
      </c>
      <c r="E1462" s="51" t="s">
        <v>86</v>
      </c>
      <c r="F1462" s="53" t="s">
        <v>89</v>
      </c>
      <c r="G1462" s="53">
        <v>3785</v>
      </c>
    </row>
    <row r="1463" spans="1:7">
      <c r="A1463" s="53">
        <v>86971166</v>
      </c>
      <c r="B1463" s="53">
        <v>50</v>
      </c>
      <c r="C1463" s="53" t="s">
        <v>85</v>
      </c>
      <c r="D1463" s="53" t="s">
        <v>82</v>
      </c>
      <c r="E1463" s="51" t="s">
        <v>90</v>
      </c>
      <c r="F1463" s="53" t="s">
        <v>80</v>
      </c>
      <c r="G1463" s="53">
        <v>10854</v>
      </c>
    </row>
    <row r="1464" spans="1:7">
      <c r="A1464" s="53">
        <v>83557895</v>
      </c>
      <c r="B1464" s="53">
        <v>39</v>
      </c>
      <c r="C1464" s="53" t="s">
        <v>85</v>
      </c>
      <c r="D1464" s="53" t="s">
        <v>87</v>
      </c>
      <c r="E1464" s="51" t="s">
        <v>81</v>
      </c>
      <c r="F1464" s="53" t="s">
        <v>89</v>
      </c>
      <c r="G1464" s="53">
        <v>12031</v>
      </c>
    </row>
    <row r="1465" spans="1:7">
      <c r="A1465" s="53">
        <v>89404004</v>
      </c>
      <c r="B1465" s="53">
        <v>31</v>
      </c>
      <c r="C1465" s="53" t="s">
        <v>83</v>
      </c>
      <c r="D1465" s="53" t="s">
        <v>82</v>
      </c>
      <c r="E1465" s="51" t="s">
        <v>81</v>
      </c>
      <c r="F1465" s="53" t="s">
        <v>80</v>
      </c>
      <c r="G1465" s="53">
        <v>9936</v>
      </c>
    </row>
    <row r="1466" spans="1:7">
      <c r="A1466" s="53">
        <v>85797405</v>
      </c>
      <c r="B1466" s="53">
        <v>26</v>
      </c>
      <c r="C1466" s="53" t="s">
        <v>85</v>
      </c>
      <c r="D1466" s="53" t="s">
        <v>82</v>
      </c>
      <c r="E1466" s="51" t="s">
        <v>86</v>
      </c>
      <c r="F1466" s="53" t="s">
        <v>89</v>
      </c>
      <c r="G1466" s="53">
        <v>2966</v>
      </c>
    </row>
    <row r="1467" spans="1:7">
      <c r="A1467" s="53">
        <v>88637086</v>
      </c>
      <c r="B1467" s="53">
        <v>36</v>
      </c>
      <c r="C1467" s="53" t="s">
        <v>83</v>
      </c>
      <c r="D1467" s="53" t="s">
        <v>88</v>
      </c>
      <c r="E1467" s="51" t="s">
        <v>81</v>
      </c>
      <c r="F1467" s="53" t="s">
        <v>80</v>
      </c>
      <c r="G1467" s="53">
        <v>2571</v>
      </c>
    </row>
    <row r="1468" spans="1:7">
      <c r="A1468" s="53">
        <v>80514132</v>
      </c>
      <c r="B1468" s="53">
        <v>39</v>
      </c>
      <c r="C1468" s="53" t="s">
        <v>83</v>
      </c>
      <c r="D1468" s="53" t="s">
        <v>87</v>
      </c>
      <c r="E1468" s="51" t="s">
        <v>81</v>
      </c>
      <c r="F1468" s="53" t="s">
        <v>80</v>
      </c>
      <c r="G1468" s="53">
        <v>9991</v>
      </c>
    </row>
    <row r="1469" spans="1:7">
      <c r="A1469" s="53">
        <v>84576300</v>
      </c>
      <c r="B1469" s="53">
        <v>27</v>
      </c>
      <c r="C1469" s="53" t="s">
        <v>83</v>
      </c>
      <c r="D1469" s="53" t="s">
        <v>82</v>
      </c>
      <c r="E1469" s="51" t="s">
        <v>86</v>
      </c>
      <c r="F1469" s="53" t="s">
        <v>80</v>
      </c>
      <c r="G1469" s="53">
        <v>6142</v>
      </c>
    </row>
    <row r="1470" spans="1:7">
      <c r="A1470" s="53">
        <v>87248284</v>
      </c>
      <c r="B1470" s="53">
        <v>49</v>
      </c>
      <c r="C1470" s="53" t="s">
        <v>85</v>
      </c>
      <c r="D1470" s="53" t="s">
        <v>82</v>
      </c>
      <c r="E1470" s="51" t="s">
        <v>84</v>
      </c>
      <c r="F1470" s="53" t="s">
        <v>80</v>
      </c>
      <c r="G1470" s="53">
        <v>5390</v>
      </c>
    </row>
    <row r="1471" spans="1:7">
      <c r="A1471" s="53">
        <v>85791664</v>
      </c>
      <c r="B1471" s="53">
        <v>34</v>
      </c>
      <c r="C1471" s="53" t="s">
        <v>83</v>
      </c>
      <c r="D1471" s="53" t="s">
        <v>82</v>
      </c>
      <c r="E1471" s="51" t="s">
        <v>81</v>
      </c>
      <c r="F1471" s="53" t="s">
        <v>80</v>
      </c>
      <c r="G1471" s="53">
        <v>4404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dimension ref="B1:P10"/>
  <sheetViews>
    <sheetView workbookViewId="0">
      <selection activeCell="C8" sqref="C8"/>
    </sheetView>
  </sheetViews>
  <sheetFormatPr defaultColWidth="9.125" defaultRowHeight="13.5"/>
  <cols>
    <col min="1" max="2" width="9.125" style="51"/>
    <col min="3" max="3" width="15.375" style="51" bestFit="1" customWidth="1"/>
    <col min="4" max="16384" width="9.125" style="51"/>
  </cols>
  <sheetData>
    <row r="1" spans="2:16">
      <c r="P1" s="51" t="s">
        <v>79</v>
      </c>
    </row>
    <row r="3" spans="2:16">
      <c r="B3" s="55" t="s">
        <v>78</v>
      </c>
      <c r="C3" s="54" t="s">
        <v>77</v>
      </c>
    </row>
    <row r="4" spans="2:16">
      <c r="B4" s="56" t="s">
        <v>76</v>
      </c>
      <c r="C4" s="54">
        <v>6138.3173913043474</v>
      </c>
    </row>
    <row r="5" spans="2:16">
      <c r="B5" s="56" t="s">
        <v>75</v>
      </c>
      <c r="C5" s="54">
        <v>7187</v>
      </c>
    </row>
    <row r="6" spans="2:16">
      <c r="B6" s="56" t="s">
        <v>74</v>
      </c>
      <c r="C6" s="54">
        <v>5853.6301369863013</v>
      </c>
    </row>
    <row r="7" spans="2:16">
      <c r="B7" s="56" t="s">
        <v>73</v>
      </c>
      <c r="C7" s="54">
        <v>6739.0123456790125</v>
      </c>
    </row>
    <row r="8" spans="2:16">
      <c r="B8" s="56" t="s">
        <v>72</v>
      </c>
      <c r="C8" s="54">
        <v>6908.042016806723</v>
      </c>
    </row>
    <row r="9" spans="2:16">
      <c r="B9" s="56" t="s">
        <v>71</v>
      </c>
      <c r="C9" s="54">
        <v>6446.4949999999999</v>
      </c>
    </row>
    <row r="10" spans="2:16">
      <c r="B10" s="52"/>
      <c r="C10" s="52"/>
    </row>
  </sheetData>
  <phoneticPr fontId="1" type="noConversion"/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"/>
  <dimension ref="B2:L13"/>
  <sheetViews>
    <sheetView topLeftCell="A4" workbookViewId="0">
      <selection activeCell="S10" sqref="S10"/>
    </sheetView>
  </sheetViews>
  <sheetFormatPr defaultRowHeight="13.5"/>
  <sheetData>
    <row r="2" spans="2:12">
      <c r="B2" s="67" t="s">
        <v>18</v>
      </c>
      <c r="C2" s="67"/>
      <c r="D2" s="67"/>
      <c r="E2" s="67"/>
      <c r="F2" s="67"/>
      <c r="G2" s="4"/>
      <c r="H2" s="11" t="s">
        <v>37</v>
      </c>
    </row>
    <row r="3" spans="2:12">
      <c r="B3" s="32" t="s">
        <v>38</v>
      </c>
      <c r="C3" s="33" t="s">
        <v>64</v>
      </c>
      <c r="D3" s="33" t="s">
        <v>63</v>
      </c>
      <c r="E3" s="33" t="s">
        <v>40</v>
      </c>
      <c r="F3" s="33" t="s">
        <v>39</v>
      </c>
      <c r="G3" s="4"/>
      <c r="H3" s="2" t="s">
        <v>45</v>
      </c>
    </row>
    <row r="4" spans="2:12">
      <c r="B4" s="34" t="s">
        <v>44</v>
      </c>
      <c r="C4" s="33">
        <v>0.13</v>
      </c>
      <c r="D4" s="33">
        <v>0.19</v>
      </c>
      <c r="E4" s="33">
        <v>0.32</v>
      </c>
      <c r="F4" s="33">
        <v>0.36</v>
      </c>
      <c r="G4" s="4"/>
      <c r="H4" s="4"/>
    </row>
    <row r="5" spans="2:12">
      <c r="B5" s="34" t="s">
        <v>45</v>
      </c>
      <c r="C5" s="33">
        <v>0.09</v>
      </c>
      <c r="D5" s="33">
        <v>0.24</v>
      </c>
      <c r="E5" s="33">
        <v>0.28999999999999998</v>
      </c>
      <c r="F5" s="33">
        <v>0.38</v>
      </c>
      <c r="G5" s="4"/>
      <c r="H5" s="4"/>
      <c r="L5" s="4"/>
    </row>
    <row r="6" spans="2:12">
      <c r="B6" s="10"/>
      <c r="C6" s="4"/>
      <c r="D6" s="4"/>
      <c r="E6" s="4"/>
      <c r="F6" s="4"/>
      <c r="G6" s="4"/>
      <c r="H6" s="4"/>
      <c r="L6" s="4"/>
    </row>
    <row r="7" spans="2:12">
      <c r="B7" s="10"/>
      <c r="C7" s="4"/>
      <c r="D7" s="4"/>
      <c r="E7" s="4"/>
      <c r="F7" s="4"/>
      <c r="G7" s="4"/>
      <c r="H7" s="4"/>
      <c r="L7" s="8"/>
    </row>
    <row r="8" spans="2:12">
      <c r="B8" s="10"/>
      <c r="C8" s="4"/>
      <c r="D8" s="4"/>
      <c r="E8" s="4"/>
      <c r="F8" s="4"/>
      <c r="G8" s="4"/>
      <c r="H8" s="4"/>
    </row>
    <row r="9" spans="2:12" ht="14.25">
      <c r="B9" s="66" t="s">
        <v>19</v>
      </c>
      <c r="C9" s="66"/>
      <c r="D9" s="66"/>
      <c r="E9" s="66"/>
      <c r="F9" s="66"/>
      <c r="G9" s="4"/>
      <c r="H9" s="4"/>
    </row>
    <row r="10" spans="2:12">
      <c r="B10" s="29" t="s">
        <v>38</v>
      </c>
      <c r="C10" s="30" t="s">
        <v>64</v>
      </c>
      <c r="D10" s="30" t="s">
        <v>63</v>
      </c>
      <c r="E10" s="30" t="s">
        <v>40</v>
      </c>
      <c r="F10" s="30" t="s">
        <v>39</v>
      </c>
      <c r="G10" s="4"/>
      <c r="H10" s="4"/>
    </row>
    <row r="11" spans="2:12">
      <c r="B11" s="31" t="str">
        <f>H3</f>
        <v>近30天</v>
      </c>
      <c r="C11" s="30">
        <f>VLOOKUP($B$11,$B$3:$F$5,COLUMN(B2),0)</f>
        <v>0.09</v>
      </c>
      <c r="D11" s="30">
        <f t="shared" ref="D11:F11" si="0">VLOOKUP($B$11,$B$3:$F$5,COLUMN(C2),0)</f>
        <v>0.24</v>
      </c>
      <c r="E11" s="30">
        <f t="shared" si="0"/>
        <v>0.28999999999999998</v>
      </c>
      <c r="F11" s="30">
        <f t="shared" si="0"/>
        <v>0.38</v>
      </c>
      <c r="G11" s="4"/>
      <c r="H11" s="4"/>
    </row>
    <row r="12" spans="2:12">
      <c r="B12" s="30" t="s">
        <v>62</v>
      </c>
      <c r="C12" s="30">
        <f>50%-C11</f>
        <v>0.41000000000000003</v>
      </c>
      <c r="D12" s="30">
        <f t="shared" ref="D12:F12" si="1">50%-D11</f>
        <v>0.26</v>
      </c>
      <c r="E12" s="30">
        <f t="shared" si="1"/>
        <v>0.21000000000000002</v>
      </c>
      <c r="F12" s="30">
        <f t="shared" si="1"/>
        <v>0.12</v>
      </c>
      <c r="G12" s="4"/>
      <c r="H12" s="4"/>
    </row>
    <row r="13" spans="2:12">
      <c r="L13" s="1"/>
    </row>
  </sheetData>
  <mergeCells count="2">
    <mergeCell ref="B2:F2"/>
    <mergeCell ref="B9:F9"/>
  </mergeCells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4">
    <tabColor theme="0"/>
  </sheetPr>
  <dimension ref="B1:K20"/>
  <sheetViews>
    <sheetView zoomScale="98" zoomScaleNormal="98" workbookViewId="0">
      <selection activeCell="M34" sqref="M34"/>
    </sheetView>
  </sheetViews>
  <sheetFormatPr defaultRowHeight="13.5"/>
  <cols>
    <col min="1" max="3" width="8.625" customWidth="1"/>
    <col min="10" max="10" width="11" bestFit="1" customWidth="1"/>
  </cols>
  <sheetData>
    <row r="1" spans="2:11">
      <c r="B1" s="68" t="s">
        <v>18</v>
      </c>
      <c r="C1" s="69"/>
      <c r="D1" s="69"/>
      <c r="E1" s="69"/>
      <c r="F1" s="69"/>
      <c r="G1" s="69"/>
      <c r="H1" s="69"/>
      <c r="J1" s="70" t="s">
        <v>37</v>
      </c>
      <c r="K1" s="71"/>
    </row>
    <row r="2" spans="2:11">
      <c r="B2" s="13" t="s">
        <v>55</v>
      </c>
      <c r="C2" s="13" t="s">
        <v>20</v>
      </c>
      <c r="D2" s="13" t="s">
        <v>6</v>
      </c>
      <c r="E2" s="13" t="s">
        <v>7</v>
      </c>
      <c r="F2" s="13" t="s">
        <v>8</v>
      </c>
      <c r="G2" s="13" t="s">
        <v>12</v>
      </c>
      <c r="H2" s="13" t="s">
        <v>13</v>
      </c>
      <c r="J2" s="28" t="s">
        <v>58</v>
      </c>
      <c r="K2" s="28">
        <v>1</v>
      </c>
    </row>
    <row r="3" spans="2:11">
      <c r="B3" s="13" t="s">
        <v>0</v>
      </c>
      <c r="C3" s="16">
        <v>0.32</v>
      </c>
      <c r="D3" s="21">
        <v>0.45</v>
      </c>
      <c r="E3" s="21">
        <v>0.66</v>
      </c>
      <c r="F3" s="21">
        <v>0.52</v>
      </c>
      <c r="G3" s="16">
        <v>0.69</v>
      </c>
      <c r="H3" s="21">
        <v>0.77100000000000002</v>
      </c>
      <c r="J3" s="28" t="s">
        <v>61</v>
      </c>
      <c r="K3" s="28">
        <v>1</v>
      </c>
    </row>
    <row r="4" spans="2:11">
      <c r="B4" s="13" t="s">
        <v>1</v>
      </c>
      <c r="C4" s="16">
        <v>0.49</v>
      </c>
      <c r="D4" s="21">
        <v>0.36</v>
      </c>
      <c r="E4" s="21">
        <v>0.54</v>
      </c>
      <c r="F4" s="21">
        <v>0.39</v>
      </c>
      <c r="G4" s="16">
        <v>0.41499999999999998</v>
      </c>
      <c r="H4" s="21">
        <v>0.40300000000000002</v>
      </c>
    </row>
    <row r="5" spans="2:11">
      <c r="B5" s="13" t="s">
        <v>2</v>
      </c>
      <c r="C5" s="16">
        <v>0.65</v>
      </c>
      <c r="D5" s="21">
        <v>0.53</v>
      </c>
      <c r="E5" s="21">
        <v>0.57999999999999996</v>
      </c>
      <c r="F5" s="21">
        <v>0.48</v>
      </c>
      <c r="G5" s="16">
        <v>0.44500000000000001</v>
      </c>
      <c r="H5" s="21">
        <v>0.39900000000000002</v>
      </c>
    </row>
    <row r="6" spans="2:11">
      <c r="B6" s="13" t="s">
        <v>3</v>
      </c>
      <c r="C6" s="16">
        <v>0.73</v>
      </c>
      <c r="D6" s="21">
        <v>0.63</v>
      </c>
      <c r="E6" s="21">
        <v>0.61</v>
      </c>
      <c r="F6" s="21">
        <v>0.53</v>
      </c>
      <c r="G6" s="16">
        <v>0.47</v>
      </c>
      <c r="H6" s="21">
        <v>0.40799999999999997</v>
      </c>
    </row>
    <row r="7" spans="2:11">
      <c r="B7" s="13" t="s">
        <v>4</v>
      </c>
      <c r="C7" s="21">
        <v>0.53600000000000003</v>
      </c>
      <c r="D7" s="21">
        <v>0.498</v>
      </c>
      <c r="E7" s="21">
        <v>0.52700000000000002</v>
      </c>
      <c r="F7" s="21">
        <v>0.70799999999999996</v>
      </c>
      <c r="G7" s="21">
        <v>0.70350000000000001</v>
      </c>
      <c r="H7" s="21">
        <v>0.75800000000000001</v>
      </c>
    </row>
    <row r="8" spans="2:11">
      <c r="B8" s="13" t="s">
        <v>5</v>
      </c>
      <c r="C8" s="16">
        <v>0.32</v>
      </c>
      <c r="D8" s="16">
        <v>0.49</v>
      </c>
      <c r="E8" s="16">
        <v>0.65</v>
      </c>
      <c r="F8" s="16">
        <v>0.73</v>
      </c>
      <c r="G8" s="21">
        <v>0.53600000000000003</v>
      </c>
      <c r="H8" s="16">
        <v>0.74680000000000002</v>
      </c>
    </row>
    <row r="9" spans="2:11">
      <c r="C9" s="23"/>
      <c r="D9" s="23"/>
      <c r="E9" s="23"/>
      <c r="F9" s="23"/>
      <c r="G9" s="22"/>
      <c r="H9" s="23"/>
    </row>
    <row r="10" spans="2:11">
      <c r="C10" s="23"/>
      <c r="D10" s="23"/>
      <c r="E10" s="23"/>
      <c r="F10" s="23"/>
      <c r="G10" s="22"/>
      <c r="H10" s="23"/>
    </row>
    <row r="11" spans="2:11">
      <c r="C11" s="23"/>
      <c r="D11" s="23"/>
      <c r="E11" s="23"/>
      <c r="F11" s="23"/>
      <c r="G11" s="22"/>
      <c r="H11" s="23"/>
    </row>
    <row r="13" spans="2:11" ht="14.25" customHeight="1">
      <c r="B13" s="72" t="s">
        <v>59</v>
      </c>
      <c r="C13" s="73"/>
      <c r="D13" s="73"/>
      <c r="E13" s="73"/>
      <c r="F13" s="73"/>
    </row>
    <row r="14" spans="2:11">
      <c r="B14" s="24" t="s">
        <v>57</v>
      </c>
      <c r="C14" s="24" t="s">
        <v>56</v>
      </c>
      <c r="D14" s="24" t="s">
        <v>60</v>
      </c>
      <c r="E14" s="24" t="s">
        <v>54</v>
      </c>
      <c r="F14" s="24" t="s">
        <v>53</v>
      </c>
    </row>
    <row r="15" spans="2:11">
      <c r="B15" s="25" t="str">
        <f>IF($K$2=1,VLOOKUP($B$2,$B$2:$H$8,ROW(B2),0),HLOOKUP($B$2,$B$2:$H$8,ROW(B2),0))</f>
        <v>1月</v>
      </c>
      <c r="C15" s="26" t="str">
        <f>IF($K$2=2,VLOOKUP($B$2,$B$2:$H$8,ROW(B2),0),HLOOKUP($B$2,$B$2:$H$8,ROW(B2),0))</f>
        <v>华北</v>
      </c>
      <c r="D15" s="26">
        <f>IF($K$2=1,VLOOKUP(C15,$B$2:$H$8,$K$3+1,0),HLOOKUP(C15,$B$2:$H$8,$K$3+1,0))</f>
        <v>0.32</v>
      </c>
      <c r="E15" s="26">
        <f>1-D15</f>
        <v>0.67999999999999994</v>
      </c>
      <c r="F15" s="27">
        <v>1</v>
      </c>
    </row>
    <row r="16" spans="2:11">
      <c r="B16" s="25" t="str">
        <f t="shared" ref="B16:B20" si="0">IF($K$2=1,VLOOKUP($B$2,$B$2:$H$8,ROW(B3),0),HLOOKUP($B$2,$B$2:$H$8,ROW(B3),0))</f>
        <v>2月</v>
      </c>
      <c r="C16" s="26" t="str">
        <f t="shared" ref="C16:C20" si="1">IF($K$2=2,VLOOKUP($B$2,$B$2:$H$8,ROW(B3),0),HLOOKUP($B$2,$B$2:$H$8,ROW(B3),0))</f>
        <v>华南</v>
      </c>
      <c r="D16" s="26">
        <f t="shared" ref="D16:D20" si="2">IF($K$2=1,VLOOKUP(C16,$B$2:$H$8,$K$3+1,0),HLOOKUP(C16,$B$2:$H$8,$K$3+1,0))</f>
        <v>0.49</v>
      </c>
      <c r="E16" s="26">
        <f t="shared" ref="E16:E19" si="3">1-D16</f>
        <v>0.51</v>
      </c>
      <c r="F16" s="27">
        <v>3</v>
      </c>
    </row>
    <row r="17" spans="2:6">
      <c r="B17" s="25" t="str">
        <f t="shared" si="0"/>
        <v>3月</v>
      </c>
      <c r="C17" s="26" t="str">
        <f t="shared" si="1"/>
        <v>东北</v>
      </c>
      <c r="D17" s="26">
        <f t="shared" si="2"/>
        <v>0.65</v>
      </c>
      <c r="E17" s="26">
        <f t="shared" si="3"/>
        <v>0.35</v>
      </c>
      <c r="F17" s="27">
        <v>5</v>
      </c>
    </row>
    <row r="18" spans="2:6">
      <c r="B18" s="25" t="str">
        <f t="shared" si="0"/>
        <v>4月</v>
      </c>
      <c r="C18" s="26" t="str">
        <f t="shared" si="1"/>
        <v>西北</v>
      </c>
      <c r="D18" s="26">
        <f t="shared" si="2"/>
        <v>0.73</v>
      </c>
      <c r="E18" s="26">
        <f t="shared" si="3"/>
        <v>0.27</v>
      </c>
      <c r="F18" s="27">
        <v>7</v>
      </c>
    </row>
    <row r="19" spans="2:6">
      <c r="B19" s="25" t="str">
        <f t="shared" si="0"/>
        <v>5月</v>
      </c>
      <c r="C19" s="26" t="str">
        <f t="shared" si="1"/>
        <v>西南</v>
      </c>
      <c r="D19" s="26">
        <f t="shared" si="2"/>
        <v>0.53600000000000003</v>
      </c>
      <c r="E19" s="26">
        <f t="shared" si="3"/>
        <v>0.46399999999999997</v>
      </c>
      <c r="F19" s="27">
        <v>9</v>
      </c>
    </row>
    <row r="20" spans="2:6">
      <c r="B20" s="25" t="str">
        <f t="shared" si="0"/>
        <v>6月</v>
      </c>
      <c r="C20" s="26" t="str">
        <f t="shared" si="1"/>
        <v>华东</v>
      </c>
      <c r="D20" s="26">
        <f t="shared" si="2"/>
        <v>0.32</v>
      </c>
      <c r="E20" s="26">
        <f>1-D20</f>
        <v>0.67999999999999994</v>
      </c>
      <c r="F20" s="27">
        <v>11</v>
      </c>
    </row>
  </sheetData>
  <mergeCells count="3">
    <mergeCell ref="B1:H1"/>
    <mergeCell ref="J1:K1"/>
    <mergeCell ref="B13:F13"/>
  </mergeCells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1 动态柱形图</vt:lpstr>
      <vt:lpstr>2 动态跑道图</vt:lpstr>
      <vt:lpstr>3 动态南丁格尔圆环图</vt:lpstr>
      <vt:lpstr>4 动态组合图</vt:lpstr>
      <vt:lpstr>5 人力资源明细</vt:lpstr>
      <vt:lpstr>5 透视表切片器</vt:lpstr>
      <vt:lpstr>6 VBA动态玉玦图</vt:lpstr>
      <vt:lpstr>7 动态滑珠图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Xiaoyuan</dc:creator>
  <cp:lastModifiedBy>ShenMY</cp:lastModifiedBy>
  <dcterms:created xsi:type="dcterms:W3CDTF">2015-06-05T18:19:34Z</dcterms:created>
  <dcterms:modified xsi:type="dcterms:W3CDTF">2023-02-20T08:09:21Z</dcterms:modified>
</cp:coreProperties>
</file>