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5.xml" ContentType="application/vnd.openxmlformats-officedocument.drawingml.chartshapes+xml"/>
  <Override PartName="/xl/drawings/drawing16.xml" ContentType="application/vnd.openxmlformats-officedocument.drawing+xml"/>
  <Override PartName="/xl/charts/chart8.xml" ContentType="application/vnd.openxmlformats-officedocument.drawingml.chart+xml"/>
  <Override PartName="/xl/drawings/drawing17.xml" ContentType="application/vnd.openxmlformats-officedocument.drawingml.chartshapes+xml"/>
  <Override PartName="/xl/drawings/drawing18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9.xml" ContentType="application/vnd.openxmlformats-officedocument.drawingml.chartshapes+xml"/>
  <Override PartName="/xl/drawings/drawing20.xml" ContentType="application/vnd.openxmlformats-officedocument.drawing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1.xml" ContentType="application/vnd.openxmlformats-officedocument.drawingml.chartshapes+xml"/>
  <Override PartName="/xl/drawings/drawing22.xml" ContentType="application/vnd.openxmlformats-officedocument.drawing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3.xml" ContentType="application/vnd.openxmlformats-officedocument.drawingml.chartshapes+xml"/>
  <Override PartName="/xl/drawings/drawing24.xml" ContentType="application/vnd.openxmlformats-officedocument.drawing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5.xml" ContentType="application/vnd.openxmlformats-officedocument.drawingml.chartshapes+xml"/>
  <Override PartName="/xl/drawings/drawing26.xml" ContentType="application/vnd.openxmlformats-officedocument.drawing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27.xml" ContentType="application/vnd.openxmlformats-officedocument.drawingml.chartshapes+xml"/>
  <Override PartName="/xl/drawings/drawing28.xml" ContentType="application/vnd.openxmlformats-officedocument.drawing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29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D:\MyOneDrive\OneDrive - Microsoft Office\桌面\"/>
    </mc:Choice>
  </mc:AlternateContent>
  <xr:revisionPtr revIDLastSave="0" documentId="8_{6168FDA7-7ADA-4C5A-9956-18AE1C0E5DB7}" xr6:coauthVersionLast="47" xr6:coauthVersionMax="47" xr10:uidLastSave="{00000000-0000-0000-0000-000000000000}"/>
  <bookViews>
    <workbookView xWindow="-98" yWindow="-98" windowWidth="28996" windowHeight="15675" tabRatio="939" xr2:uid="{00000000-000D-0000-FFFF-FFFF00000000}"/>
  </bookViews>
  <sheets>
    <sheet name="1 渐变柱形图" sheetId="1" r:id="rId1"/>
    <sheet name="2 带均值柱形图" sheetId="4" r:id="rId2"/>
    <sheet name="3 渐变圆角柱形图" sheetId="5" r:id="rId3"/>
    <sheet name="4 标注柱形图" sheetId="8" r:id="rId4"/>
    <sheet name="5 层叠柱形图" sheetId="26" r:id="rId5"/>
    <sheet name="6 蝴蝶图" sheetId="27" r:id="rId6"/>
    <sheet name="7 蝴蝶图" sheetId="28" r:id="rId7"/>
    <sheet name="8 数值百分比" sheetId="23" r:id="rId8"/>
    <sheet name="9 对比柱形图" sheetId="24" r:id="rId9"/>
    <sheet name="10 甘特图" sheetId="25" r:id="rId10"/>
    <sheet name="11 平滑折线图" sheetId="6" r:id="rId11"/>
    <sheet name="12 菱形走势图" sheetId="9" r:id="rId12"/>
    <sheet name="13 对比折线图" sheetId="11" r:id="rId13"/>
    <sheet name="14 单值圆环图" sheetId="12" r:id="rId14"/>
    <sheet name="15 水球图" sheetId="13" r:id="rId15"/>
  </sheets>
  <externalReferences>
    <externalReference r:id="rId16"/>
  </externalReferences>
  <definedNames>
    <definedName name="图表">OFFSET('[1]动态前N名 (2)'!$C$2,1,,'[1]动态前N名 (2)'!$E$5,1)</definedName>
    <definedName name="图表2">OFFSET([1]动态前N名!$G$2,1,,[1]动态前N名!$D$10,1)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8" l="1"/>
  <c r="J3" i="28"/>
  <c r="H4" i="28"/>
  <c r="J4" i="28"/>
  <c r="H5" i="28"/>
  <c r="J5" i="28"/>
  <c r="H6" i="28"/>
  <c r="J6" i="28"/>
  <c r="H7" i="28"/>
  <c r="J7" i="28"/>
  <c r="R7" i="28"/>
  <c r="T7" i="28"/>
  <c r="J8" i="28"/>
  <c r="R8" i="28"/>
  <c r="T8" i="28"/>
  <c r="R9" i="28"/>
  <c r="T9" i="28"/>
  <c r="R10" i="28"/>
  <c r="T10" i="28"/>
  <c r="R11" i="28"/>
  <c r="T11" i="28"/>
  <c r="R13" i="28"/>
  <c r="C3" i="27"/>
  <c r="C4" i="27"/>
  <c r="C5" i="27"/>
  <c r="C6" i="27"/>
  <c r="C7" i="27"/>
  <c r="E3" i="24" l="1"/>
  <c r="E4" i="24"/>
  <c r="E5" i="24"/>
  <c r="E6" i="24"/>
  <c r="E7" i="24"/>
  <c r="D3" i="23"/>
  <c r="E3" i="23"/>
  <c r="D4" i="23"/>
  <c r="E4" i="23"/>
  <c r="D5" i="23"/>
  <c r="E5" i="23"/>
  <c r="D6" i="23"/>
  <c r="E6" i="23"/>
  <c r="D7" i="23"/>
  <c r="E7" i="23"/>
  <c r="D8" i="23"/>
  <c r="E8" i="23"/>
  <c r="D3" i="4" l="1"/>
  <c r="D4" i="4"/>
  <c r="D5" i="4"/>
  <c r="D6" i="4"/>
  <c r="D7" i="4"/>
  <c r="D8" i="4"/>
</calcChain>
</file>

<file path=xl/sharedStrings.xml><?xml version="1.0" encoding="utf-8"?>
<sst xmlns="http://schemas.openxmlformats.org/spreadsheetml/2006/main" count="141" uniqueCount="87">
  <si>
    <t>区域</t>
  </si>
  <si>
    <t>销售量</t>
  </si>
  <si>
    <t>华北</t>
  </si>
  <si>
    <t>华南</t>
  </si>
  <si>
    <t>东北</t>
  </si>
  <si>
    <t>西北</t>
  </si>
  <si>
    <t>西南</t>
  </si>
  <si>
    <t>华东</t>
  </si>
  <si>
    <t xml:space="preserve"> </t>
    <phoneticPr fontId="1" type="noConversion"/>
  </si>
  <si>
    <t>1月</t>
    <phoneticPr fontId="1" type="noConversion"/>
  </si>
  <si>
    <t>2月</t>
  </si>
  <si>
    <t>3月</t>
  </si>
  <si>
    <t>4月</t>
  </si>
  <si>
    <t>完成率</t>
    <phoneticPr fontId="1" type="noConversion"/>
  </si>
  <si>
    <t>均值</t>
    <phoneticPr fontId="1" type="noConversion"/>
  </si>
  <si>
    <t>=AVERAGE($C$3:$C$8)</t>
    <phoneticPr fontId="1" type="noConversion"/>
  </si>
  <si>
    <t>D3公式</t>
    <phoneticPr fontId="1" type="noConversion"/>
  </si>
  <si>
    <t xml:space="preserve"> </t>
    <phoneticPr fontId="1" type="noConversion"/>
  </si>
  <si>
    <t>月份</t>
  </si>
  <si>
    <t>口红</t>
    <phoneticPr fontId="1" type="noConversion"/>
  </si>
  <si>
    <t>面膜</t>
    <phoneticPr fontId="1" type="noConversion"/>
  </si>
  <si>
    <t>隔离</t>
    <phoneticPr fontId="1" type="noConversion"/>
  </si>
  <si>
    <t>防晒</t>
    <phoneticPr fontId="1" type="noConversion"/>
  </si>
  <si>
    <t>精华</t>
    <phoneticPr fontId="1" type="noConversion"/>
  </si>
  <si>
    <t>面霜</t>
    <phoneticPr fontId="1" type="noConversion"/>
  </si>
  <si>
    <t>2月</t>
    <phoneticPr fontId="1" type="noConversion"/>
  </si>
  <si>
    <t>5月</t>
  </si>
  <si>
    <t>6月</t>
  </si>
  <si>
    <t>7月</t>
  </si>
  <si>
    <t>8月</t>
  </si>
  <si>
    <t>商品</t>
    <phoneticPr fontId="1" type="noConversion"/>
  </si>
  <si>
    <t>9月</t>
  </si>
  <si>
    <t>10月</t>
  </si>
  <si>
    <t>年份</t>
    <phoneticPr fontId="1" type="noConversion"/>
  </si>
  <si>
    <t>5月</t>
    <phoneticPr fontId="1" type="noConversion"/>
  </si>
  <si>
    <t>11月</t>
  </si>
  <si>
    <t>12月</t>
  </si>
  <si>
    <t>1月</t>
    <phoneticPr fontId="1" type="noConversion"/>
  </si>
  <si>
    <t>2月</t>
    <phoneticPr fontId="1" type="noConversion"/>
  </si>
  <si>
    <t>3月</t>
    <phoneticPr fontId="1" type="noConversion"/>
  </si>
  <si>
    <t>销量</t>
    <phoneticPr fontId="1" type="noConversion"/>
  </si>
  <si>
    <t>2022年</t>
    <phoneticPr fontId="1" type="noConversion"/>
  </si>
  <si>
    <t>2021年</t>
    <phoneticPr fontId="1" type="noConversion"/>
  </si>
  <si>
    <t>月份</t>
    <phoneticPr fontId="1" type="noConversion"/>
  </si>
  <si>
    <t>占位</t>
    <phoneticPr fontId="1" type="noConversion"/>
  </si>
  <si>
    <t>占位1</t>
    <phoneticPr fontId="1" type="noConversion"/>
  </si>
  <si>
    <t>占位2</t>
    <phoneticPr fontId="1" type="noConversion"/>
  </si>
  <si>
    <t>同比去年</t>
    <phoneticPr fontId="1" type="noConversion"/>
  </si>
  <si>
    <t>精华</t>
  </si>
  <si>
    <t>防晒</t>
  </si>
  <si>
    <t>隔离</t>
  </si>
  <si>
    <t>面膜</t>
  </si>
  <si>
    <t>口红</t>
  </si>
  <si>
    <t>差值</t>
    <phoneticPr fontId="1" type="noConversion"/>
  </si>
  <si>
    <t>2022销量</t>
    <phoneticPr fontId="1" type="noConversion"/>
  </si>
  <si>
    <t>2021销量</t>
    <phoneticPr fontId="1" type="noConversion"/>
  </si>
  <si>
    <t>项目总结</t>
  </si>
  <si>
    <t>第三阶段</t>
  </si>
  <si>
    <t>第二阶段</t>
  </si>
  <si>
    <t>第一阶段</t>
  </si>
  <si>
    <t>资源调配</t>
  </si>
  <si>
    <t>方案设计</t>
  </si>
  <si>
    <t>制定计划</t>
  </si>
  <si>
    <t>结束日期</t>
  </si>
  <si>
    <t>进行天数</t>
  </si>
  <si>
    <t>完成度</t>
  </si>
  <si>
    <t>项目天数</t>
    <phoneticPr fontId="1" type="noConversion"/>
  </si>
  <si>
    <t>开始日期</t>
  </si>
  <si>
    <t>项目名称</t>
  </si>
  <si>
    <t>辅助</t>
    <phoneticPr fontId="1" type="noConversion"/>
  </si>
  <si>
    <t>Q2</t>
    <phoneticPr fontId="1" type="noConversion"/>
  </si>
  <si>
    <t>2022Q1</t>
    <phoneticPr fontId="1" type="noConversion"/>
  </si>
  <si>
    <t>Q4</t>
    <phoneticPr fontId="1" type="noConversion"/>
  </si>
  <si>
    <t>Q3</t>
    <phoneticPr fontId="1" type="noConversion"/>
  </si>
  <si>
    <t>2021Q1</t>
    <phoneticPr fontId="1" type="noConversion"/>
  </si>
  <si>
    <t>利润额</t>
    <phoneticPr fontId="1" type="noConversion"/>
  </si>
  <si>
    <t>销售额</t>
    <phoneticPr fontId="1" type="noConversion"/>
  </si>
  <si>
    <t>季度</t>
    <phoneticPr fontId="1" type="noConversion"/>
  </si>
  <si>
    <t>区域</t>
    <phoneticPr fontId="1" type="noConversion"/>
  </si>
  <si>
    <t>销量</t>
    <phoneticPr fontId="1" type="noConversion"/>
  </si>
  <si>
    <t>2022年销量</t>
    <phoneticPr fontId="1" type="noConversion"/>
  </si>
  <si>
    <t>2021年销量</t>
    <phoneticPr fontId="1" type="noConversion"/>
  </si>
  <si>
    <t>面霜</t>
  </si>
  <si>
    <t>眼影</t>
  </si>
  <si>
    <t>气垫</t>
  </si>
  <si>
    <t>销量</t>
    <phoneticPr fontId="1" type="noConversion"/>
  </si>
  <si>
    <t>月份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</si>
</sst>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0_);[Red]\(0\)"/>
    <numFmt numFmtId="177" formatCode="0.0%"/>
    <numFmt numFmtId="178" formatCode="yyyy/m/d;@"/>
  </numFmts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1"/>
      <color rgb="FF1A1E43"/>
      <name val="等线"/>
      <family val="2"/>
      <scheme val="minor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12"/>
      <color rgb="FF0070C0"/>
      <name val="Stencil"/>
      <family val="5"/>
    </font>
    <font>
      <sz val="9"/>
      <color theme="0"/>
      <name val="Microsoft YaHei Light"/>
      <family val="2"/>
      <charset val="134"/>
    </font>
    <font>
      <sz val="12"/>
      <color rgb="FFE74E69"/>
      <name val="Stencil"/>
      <family val="5"/>
    </font>
    <font>
      <sz val="8"/>
      <color theme="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1A1E43"/>
        <bgColor indexed="64"/>
      </patternFill>
    </fill>
  </fills>
  <borders count="4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4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0" xfId="0" applyFont="1" applyFill="1"/>
    <xf numFmtId="0" fontId="3" fillId="3" borderId="0" xfId="0" applyFont="1" applyFill="1" applyAlignment="1">
      <alignment horizontal="center"/>
    </xf>
    <xf numFmtId="49" fontId="4" fillId="2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77" fontId="4" fillId="0" borderId="0" xfId="1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49" fontId="5" fillId="2" borderId="1" xfId="0" applyNumberFormat="1" applyFont="1" applyFill="1" applyBorder="1" applyAlignment="1">
      <alignment horizontal="center" vertical="center"/>
    </xf>
    <xf numFmtId="9" fontId="5" fillId="2" borderId="1" xfId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9" fontId="4" fillId="0" borderId="0" xfId="1" applyFont="1" applyAlignment="1">
      <alignment horizontal="center" vertical="center"/>
    </xf>
    <xf numFmtId="0" fontId="4" fillId="0" borderId="0" xfId="1" applyNumberFormat="1" applyFont="1" applyAlignment="1">
      <alignment horizontal="center" vertical="center"/>
    </xf>
    <xf numFmtId="178" fontId="4" fillId="0" borderId="0" xfId="0" applyNumberFormat="1" applyFont="1" applyAlignment="1">
      <alignment horizontal="center" vertical="center"/>
    </xf>
    <xf numFmtId="9" fontId="4" fillId="0" borderId="1" xfId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10" fontId="4" fillId="0" borderId="3" xfId="0" applyNumberFormat="1" applyFont="1" applyBorder="1" applyAlignment="1">
      <alignment horizontal="center" vertical="center"/>
    </xf>
    <xf numFmtId="9" fontId="4" fillId="0" borderId="0" xfId="0" applyNumberFormat="1" applyFont="1" applyAlignment="1">
      <alignment horizontal="center"/>
    </xf>
    <xf numFmtId="0" fontId="0" fillId="3" borderId="0" xfId="0" applyFill="1"/>
    <xf numFmtId="0" fontId="6" fillId="3" borderId="0" xfId="0" applyFont="1" applyFill="1" applyAlignment="1">
      <alignment horizontal="right"/>
    </xf>
    <xf numFmtId="9" fontId="7" fillId="3" borderId="0" xfId="1" applyFont="1" applyFill="1" applyAlignment="1">
      <alignment horizontal="left"/>
    </xf>
    <xf numFmtId="0" fontId="8" fillId="3" borderId="0" xfId="0" applyFont="1" applyFill="1" applyAlignment="1">
      <alignment horizontal="left"/>
    </xf>
    <xf numFmtId="0" fontId="7" fillId="3" borderId="0" xfId="0" applyFont="1" applyFill="1" applyAlignment="1">
      <alignment horizontal="center"/>
    </xf>
    <xf numFmtId="9" fontId="7" fillId="3" borderId="0" xfId="1" applyFont="1" applyFill="1" applyAlignment="1">
      <alignment horizontal="right"/>
    </xf>
    <xf numFmtId="0" fontId="0" fillId="0" borderId="0" xfId="0" applyAlignment="1">
      <alignment horizontal="right"/>
    </xf>
    <xf numFmtId="14" fontId="5" fillId="2" borderId="1" xfId="0" applyNumberFormat="1" applyFont="1" applyFill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9" fontId="9" fillId="3" borderId="0" xfId="1" applyFont="1" applyFill="1" applyAlignment="1">
      <alignment horizontal="right"/>
    </xf>
    <xf numFmtId="0" fontId="9" fillId="3" borderId="0" xfId="0" applyFont="1" applyFill="1" applyAlignment="1">
      <alignment horizontal="center"/>
    </xf>
    <xf numFmtId="9" fontId="9" fillId="3" borderId="0" xfId="1" applyFont="1" applyFill="1" applyAlignment="1">
      <alignment horizontal="left"/>
    </xf>
    <xf numFmtId="0" fontId="4" fillId="2" borderId="2" xfId="0" applyFont="1" applyFill="1" applyBorder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49" fontId="4" fillId="0" borderId="0" xfId="0" applyNumberFormat="1" applyFont="1"/>
    <xf numFmtId="0" fontId="4" fillId="0" borderId="0" xfId="0" applyFont="1"/>
  </cellXfs>
  <cellStyles count="2">
    <cellStyle name="百分比" xfId="1" builtinId="5"/>
    <cellStyle name="常规" xfId="0" builtinId="0"/>
  </cellStyles>
  <dxfs count="0"/>
  <tableStyles count="1" defaultTableStyle="TableStyleMedium2" defaultPivotStyle="PivotStyleLight16">
    <tableStyle name="Invisible" pivot="0" table="0" count="0" xr9:uid="{432C5F34-2819-4546-97FF-0CDD08143B35}"/>
  </tableStyles>
  <colors>
    <mruColors>
      <color rgb="FFE74E69"/>
      <color rgb="FF1A1E43"/>
      <color rgb="FF0070C0"/>
      <color rgb="FF0097E0"/>
      <color rgb="FF4A5BD1"/>
      <color rgb="FFE66B4C"/>
      <color rgb="FF49A098"/>
      <color rgb="FF11A7AD"/>
      <color rgb="FF7030A0"/>
      <color rgb="FF6073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7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7.xml"/><Relationship Id="rId1" Type="http://schemas.openxmlformats.org/officeDocument/2006/relationships/image" Target="../media/image5.png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9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1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3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5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7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7" Type="http://schemas.openxmlformats.org/officeDocument/2006/relationships/chartUserShapes" Target="../drawings/drawing29.xml"/><Relationship Id="rId2" Type="http://schemas.microsoft.com/office/2011/relationships/chartColorStyle" Target="colors13.xml"/><Relationship Id="rId1" Type="http://schemas.microsoft.com/office/2011/relationships/chartStyle" Target="style13.xml"/><Relationship Id="rId6" Type="http://schemas.openxmlformats.org/officeDocument/2006/relationships/image" Target="../media/image9.svg"/><Relationship Id="rId5" Type="http://schemas.openxmlformats.org/officeDocument/2006/relationships/image" Target="../media/image8.png"/><Relationship Id="rId4" Type="http://schemas.openxmlformats.org/officeDocument/2006/relationships/image" Target="../media/image7.sv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399451906746949"/>
          <c:y val="0.31885801039575934"/>
          <c:w val="0.7602323606607998"/>
          <c:h val="0.5254068241469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 渐变柱形图'!$C$2</c:f>
              <c:strCache>
                <c:ptCount val="1"/>
                <c:pt idx="0">
                  <c:v>销售量</c:v>
                </c:pt>
              </c:strCache>
            </c:strRef>
          </c:tx>
          <c:spPr>
            <a:gradFill>
              <a:gsLst>
                <a:gs pos="0">
                  <a:srgbClr val="0070C0"/>
                </a:gs>
                <a:gs pos="100000">
                  <a:srgbClr val="00B0F0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 渐变柱形图'!$B$3:$B$8</c:f>
              <c:strCache>
                <c:ptCount val="6"/>
                <c:pt idx="0">
                  <c:v>华北</c:v>
                </c:pt>
                <c:pt idx="1">
                  <c:v>华南</c:v>
                </c:pt>
                <c:pt idx="2">
                  <c:v>东北</c:v>
                </c:pt>
                <c:pt idx="3">
                  <c:v>西北</c:v>
                </c:pt>
                <c:pt idx="4">
                  <c:v>西南</c:v>
                </c:pt>
                <c:pt idx="5">
                  <c:v>华东</c:v>
                </c:pt>
              </c:strCache>
            </c:strRef>
          </c:cat>
          <c:val>
            <c:numRef>
              <c:f>'1 渐变柱形图'!$C$3:$C$8</c:f>
              <c:numCache>
                <c:formatCode>General</c:formatCode>
                <c:ptCount val="6"/>
                <c:pt idx="0">
                  <c:v>2354</c:v>
                </c:pt>
                <c:pt idx="1">
                  <c:v>1902</c:v>
                </c:pt>
                <c:pt idx="2">
                  <c:v>3524</c:v>
                </c:pt>
                <c:pt idx="3">
                  <c:v>2698</c:v>
                </c:pt>
                <c:pt idx="4">
                  <c:v>2896</c:v>
                </c:pt>
                <c:pt idx="5">
                  <c:v>2563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2E-441A-8B2A-865617390B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3866760"/>
        <c:axId val="833864792"/>
      </c:barChart>
      <c:catAx>
        <c:axId val="833866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33864792"/>
        <c:crosses val="autoZero"/>
        <c:auto val="1"/>
        <c:lblAlgn val="ctr"/>
        <c:lblOffset val="100"/>
        <c:noMultiLvlLbl val="0"/>
      </c:catAx>
      <c:valAx>
        <c:axId val="833864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20000"/>
                </a:schemeClr>
              </a:solidFill>
              <a:prstDash val="lg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33866760"/>
        <c:crosses val="autoZero"/>
        <c:crossBetween val="between"/>
        <c:majorUnit val="1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1A1E43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831442025629149E-2"/>
          <c:y val="0.23438164632405159"/>
          <c:w val="0.90466463398940655"/>
          <c:h val="0.5998705591108665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 带均值柱形图'!$C$2</c:f>
              <c:strCache>
                <c:ptCount val="1"/>
                <c:pt idx="0">
                  <c:v>销售量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2.462295852408048E-3"/>
                  <c:y val="4.895960203168213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74B-49F9-A481-3EC4CC1D0C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 带均值柱形图'!$B$3:$B$8</c:f>
              <c:strCache>
                <c:ptCount val="6"/>
                <c:pt idx="0">
                  <c:v>华北</c:v>
                </c:pt>
                <c:pt idx="1">
                  <c:v>华南</c:v>
                </c:pt>
                <c:pt idx="2">
                  <c:v>东北</c:v>
                </c:pt>
                <c:pt idx="3">
                  <c:v>西北</c:v>
                </c:pt>
                <c:pt idx="4">
                  <c:v>西南</c:v>
                </c:pt>
                <c:pt idx="5">
                  <c:v>华东</c:v>
                </c:pt>
              </c:strCache>
            </c:strRef>
          </c:cat>
          <c:val>
            <c:numRef>
              <c:f>'2 带均值柱形图'!$C$3:$C$8</c:f>
              <c:numCache>
                <c:formatCode>General</c:formatCode>
                <c:ptCount val="6"/>
                <c:pt idx="0">
                  <c:v>2354</c:v>
                </c:pt>
                <c:pt idx="1">
                  <c:v>1902</c:v>
                </c:pt>
                <c:pt idx="2">
                  <c:v>3524</c:v>
                </c:pt>
                <c:pt idx="3">
                  <c:v>2698</c:v>
                </c:pt>
                <c:pt idx="4">
                  <c:v>2896</c:v>
                </c:pt>
                <c:pt idx="5">
                  <c:v>2563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5D-47E7-BE0B-715467232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6214136"/>
        <c:axId val="796211512"/>
      </c:barChart>
      <c:lineChart>
        <c:grouping val="standard"/>
        <c:varyColors val="0"/>
        <c:ser>
          <c:idx val="1"/>
          <c:order val="1"/>
          <c:tx>
            <c:strRef>
              <c:f>'2 带均值柱形图'!$D$2</c:f>
              <c:strCache>
                <c:ptCount val="1"/>
                <c:pt idx="0">
                  <c:v>均值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strRef>
              <c:f>'2 带均值柱形图'!$B$3:$B$8</c:f>
              <c:strCache>
                <c:ptCount val="6"/>
                <c:pt idx="0">
                  <c:v>华北</c:v>
                </c:pt>
                <c:pt idx="1">
                  <c:v>华南</c:v>
                </c:pt>
                <c:pt idx="2">
                  <c:v>东北</c:v>
                </c:pt>
                <c:pt idx="3">
                  <c:v>西北</c:v>
                </c:pt>
                <c:pt idx="4">
                  <c:v>西南</c:v>
                </c:pt>
                <c:pt idx="5">
                  <c:v>华东</c:v>
                </c:pt>
              </c:strCache>
            </c:strRef>
          </c:cat>
          <c:val>
            <c:numRef>
              <c:f>'2 带均值柱形图'!$D$3:$D$8</c:f>
              <c:numCache>
                <c:formatCode>0_);[Red]\(0\)</c:formatCode>
                <c:ptCount val="6"/>
                <c:pt idx="0">
                  <c:v>2656.1666666666665</c:v>
                </c:pt>
                <c:pt idx="1">
                  <c:v>2656.1666666666665</c:v>
                </c:pt>
                <c:pt idx="2">
                  <c:v>2656.1666666666665</c:v>
                </c:pt>
                <c:pt idx="3">
                  <c:v>2656.1666666666665</c:v>
                </c:pt>
                <c:pt idx="4">
                  <c:v>2656.1666666666665</c:v>
                </c:pt>
                <c:pt idx="5">
                  <c:v>2656.1666666666665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5D-47E7-BE0B-715467232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6214136"/>
        <c:axId val="796211512"/>
      </c:lineChart>
      <c:catAx>
        <c:axId val="796214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95000"/>
                <a:alpha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6211512"/>
        <c:crosses val="autoZero"/>
        <c:auto val="1"/>
        <c:lblAlgn val="ctr"/>
        <c:lblOffset val="100"/>
        <c:noMultiLvlLbl val="0"/>
      </c:catAx>
      <c:valAx>
        <c:axId val="7962115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96214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1A1E43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502238690751892"/>
          <c:y val="0.29172025230356308"/>
          <c:w val="0.78899722093561842"/>
          <c:h val="0.536466808162456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 渐变圆角柱形图'!$C$2</c:f>
              <c:strCache>
                <c:ptCount val="1"/>
                <c:pt idx="0">
                  <c:v>销量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3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83DD-4599-9864-344CD621F8FA}"/>
              </c:ext>
            </c:extLst>
          </c:dPt>
          <c:dPt>
            <c:idx val="1"/>
            <c:invertIfNegative val="0"/>
            <c:bubble3D val="0"/>
            <c:spPr>
              <a:blipFill>
                <a:blip xmlns:r="http://schemas.openxmlformats.org/officeDocument/2006/relationships" r:embed="rId4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3DD-4599-9864-344CD621F8FA}"/>
              </c:ext>
            </c:extLst>
          </c:dPt>
          <c:dPt>
            <c:idx val="2"/>
            <c:invertIfNegative val="0"/>
            <c:bubble3D val="0"/>
            <c:spPr>
              <a:blipFill>
                <a:blip xmlns:r="http://schemas.openxmlformats.org/officeDocument/2006/relationships" r:embed="rId3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3DD-4599-9864-344CD621F8FA}"/>
              </c:ext>
            </c:extLst>
          </c:dPt>
          <c:dPt>
            <c:idx val="3"/>
            <c:invertIfNegative val="0"/>
            <c:bubble3D val="0"/>
            <c:spPr>
              <a:blipFill>
                <a:blip xmlns:r="http://schemas.openxmlformats.org/officeDocument/2006/relationships" r:embed="rId5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3DD-4599-9864-344CD621F8FA}"/>
              </c:ext>
            </c:extLst>
          </c:dPt>
          <c:dPt>
            <c:idx val="4"/>
            <c:invertIfNegative val="0"/>
            <c:bubble3D val="0"/>
            <c:spPr>
              <a:blipFill>
                <a:blip xmlns:r="http://schemas.openxmlformats.org/officeDocument/2006/relationships" r:embed="rId6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3DD-4599-9864-344CD621F8FA}"/>
              </c:ext>
            </c:extLst>
          </c:dPt>
          <c:dPt>
            <c:idx val="5"/>
            <c:invertIfNegative val="0"/>
            <c:bubble3D val="0"/>
            <c:spPr>
              <a:blipFill>
                <a:blip xmlns:r="http://schemas.openxmlformats.org/officeDocument/2006/relationships" r:embed="rId3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3DD-4599-9864-344CD621F8FA}"/>
              </c:ext>
            </c:extLst>
          </c:dPt>
          <c:dLbls>
            <c:dLbl>
              <c:idx val="0"/>
              <c:layout>
                <c:manualLayout>
                  <c:x val="2.6960784313725492E-2"/>
                  <c:y val="-2.62080262080262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3DD-4599-9864-344CD621F8FA}"/>
                </c:ext>
              </c:extLst>
            </c:dLbl>
            <c:dLbl>
              <c:idx val="1"/>
              <c:layout>
                <c:manualLayout>
                  <c:x val="2.9411764705882307E-2"/>
                  <c:y val="-9.828007292845726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3DD-4599-9864-344CD621F8FA}"/>
                </c:ext>
              </c:extLst>
            </c:dLbl>
            <c:dLbl>
              <c:idx val="2"/>
              <c:layout>
                <c:manualLayout>
                  <c:x val="2.6960784313725492E-2"/>
                  <c:y val="-1.310401310401316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3DD-4599-9864-344CD621F8FA}"/>
                </c:ext>
              </c:extLst>
            </c:dLbl>
            <c:dLbl>
              <c:idx val="3"/>
              <c:layout>
                <c:manualLayout>
                  <c:x val="2.6960784313725401E-2"/>
                  <c:y val="-6.552006552006552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3DD-4599-9864-344CD621F8FA}"/>
                </c:ext>
              </c:extLst>
            </c:dLbl>
            <c:dLbl>
              <c:idx val="4"/>
              <c:layout>
                <c:manualLayout>
                  <c:x val="3.4313725490195991E-2"/>
                  <c:y val="-9.828009828009888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3DD-4599-9864-344CD621F8FA}"/>
                </c:ext>
              </c:extLst>
            </c:dLbl>
            <c:dLbl>
              <c:idx val="5"/>
              <c:layout>
                <c:manualLayout>
                  <c:x val="2.9411764705882353E-2"/>
                  <c:y val="-6.552006552006612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3DD-4599-9864-344CD621F8F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 渐变圆角柱形图'!$B$3:$B$8</c:f>
              <c:strCache>
                <c:ptCount val="6"/>
                <c:pt idx="0">
                  <c:v>口红</c:v>
                </c:pt>
                <c:pt idx="1">
                  <c:v>面膜</c:v>
                </c:pt>
                <c:pt idx="2">
                  <c:v>隔离</c:v>
                </c:pt>
                <c:pt idx="3">
                  <c:v>防晒</c:v>
                </c:pt>
                <c:pt idx="4">
                  <c:v>精华</c:v>
                </c:pt>
                <c:pt idx="5">
                  <c:v>面霜</c:v>
                </c:pt>
              </c:strCache>
            </c:strRef>
          </c:cat>
          <c:val>
            <c:numRef>
              <c:f>'3 渐变圆角柱形图'!$C$3:$C$8</c:f>
              <c:numCache>
                <c:formatCode>General</c:formatCode>
                <c:ptCount val="6"/>
                <c:pt idx="0">
                  <c:v>653</c:v>
                </c:pt>
                <c:pt idx="1">
                  <c:v>523</c:v>
                </c:pt>
                <c:pt idx="2">
                  <c:v>648</c:v>
                </c:pt>
                <c:pt idx="3">
                  <c:v>856</c:v>
                </c:pt>
                <c:pt idx="4">
                  <c:v>714</c:v>
                </c:pt>
                <c:pt idx="5">
                  <c:v>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04-401D-8229-4AEE84584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-27"/>
        <c:axId val="750841400"/>
        <c:axId val="750841728"/>
      </c:barChart>
      <c:catAx>
        <c:axId val="750841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50841728"/>
        <c:crosses val="autoZero"/>
        <c:auto val="1"/>
        <c:lblAlgn val="ctr"/>
        <c:lblOffset val="100"/>
        <c:noMultiLvlLbl val="0"/>
      </c:catAx>
      <c:valAx>
        <c:axId val="750841728"/>
        <c:scaling>
          <c:orientation val="minMax"/>
          <c:max val="1200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  <a:alpha val="20000"/>
                </a:schemeClr>
              </a:solidFill>
              <a:prstDash val="lg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50841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1A1E43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7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203431372549019"/>
          <c:y val="0.29873290354927151"/>
          <c:w val="0.78620522618496225"/>
          <c:h val="0.537684861979696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'4 标注柱形图'!$C$2</c:f>
              <c:strCache>
                <c:ptCount val="1"/>
                <c:pt idx="0">
                  <c:v>销量</c:v>
                </c:pt>
              </c:strCache>
            </c:strRef>
          </c:tx>
          <c:spPr>
            <a:solidFill>
              <a:srgbClr val="7BBDD5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49A09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808-45AA-B762-DA558906602D}"/>
              </c:ext>
            </c:extLst>
          </c:dPt>
          <c:dPt>
            <c:idx val="2"/>
            <c:invertIfNegative val="0"/>
            <c:bubble3D val="0"/>
            <c:spPr>
              <a:solidFill>
                <a:srgbClr val="E66B4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808-45AA-B762-DA558906602D}"/>
              </c:ext>
            </c:extLst>
          </c:dPt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808-45AA-B762-DA558906602D}"/>
              </c:ext>
            </c:extLst>
          </c:dPt>
          <c:dPt>
            <c:idx val="4"/>
            <c:invertIfNegative val="0"/>
            <c:bubble3D val="0"/>
            <c:spPr>
              <a:solidFill>
                <a:srgbClr val="0097E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808-45AA-B762-DA558906602D}"/>
              </c:ext>
            </c:extLst>
          </c:dPt>
          <c:dPt>
            <c:idx val="5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808-45AA-B762-DA558906602D}"/>
              </c:ext>
            </c:extLst>
          </c:dPt>
          <c:dPt>
            <c:idx val="6"/>
            <c:invertIfNegative val="0"/>
            <c:bubble3D val="0"/>
            <c:spPr>
              <a:solidFill>
                <a:srgbClr val="4A5BD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808-45AA-B762-DA558906602D}"/>
              </c:ext>
            </c:extLst>
          </c:dPt>
          <c:dPt>
            <c:idx val="7"/>
            <c:invertIfNegative val="0"/>
            <c:bubble3D val="0"/>
            <c:spPr>
              <a:solidFill>
                <a:srgbClr val="464CA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808-45AA-B762-DA558906602D}"/>
              </c:ext>
            </c:extLst>
          </c:dPt>
          <c:dLbls>
            <c:dLbl>
              <c:idx val="0"/>
              <c:layout>
                <c:manualLayout>
                  <c:x val="4.2934614790798211E-3"/>
                  <c:y val="-7.643921659669691E-3"/>
                </c:manualLayout>
              </c:layout>
              <c:spPr>
                <a:solidFill>
                  <a:srgbClr val="7BBDD5"/>
                </a:solidFill>
                <a:ln w="9525" cap="flat" cmpd="sng" algn="ctr">
                  <a:noFill/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9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13789"/>
                        <a:gd name="adj2" fmla="val 92665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8-2808-45AA-B762-DA558906602D}"/>
                </c:ext>
              </c:extLst>
            </c:dLbl>
            <c:dLbl>
              <c:idx val="1"/>
              <c:layout>
                <c:manualLayout>
                  <c:x val="1.2283850548093253E-3"/>
                  <c:y val="-1.5724815724815724E-2"/>
                </c:manualLayout>
              </c:layout>
              <c:spPr>
                <a:solidFill>
                  <a:srgbClr val="49A098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9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4179"/>
                        <a:gd name="adj2" fmla="val 91141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2808-45AA-B762-DA558906602D}"/>
                </c:ext>
              </c:extLst>
            </c:dLbl>
            <c:dLbl>
              <c:idx val="2"/>
              <c:layout>
                <c:manualLayout>
                  <c:x val="4.4934121440070564E-17"/>
                  <c:y val="-7.4256934099453786E-3"/>
                </c:manualLayout>
              </c:layout>
              <c:spPr>
                <a:solidFill>
                  <a:srgbClr val="E66B4C"/>
                </a:solidFill>
                <a:ln w="9525" cap="flat" cmpd="sng" algn="ctr">
                  <a:noFill/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9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3064"/>
                        <a:gd name="adj2" fmla="val 95321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2808-45AA-B762-DA558906602D}"/>
                </c:ext>
              </c:extLst>
            </c:dLbl>
            <c:dLbl>
              <c:idx val="3"/>
              <c:layout>
                <c:manualLayout>
                  <c:x val="3.0650764242704954E-3"/>
                  <c:y val="-7.4256934099453187E-3"/>
                </c:manualLayout>
              </c:layout>
              <c:spPr>
                <a:solidFill>
                  <a:srgbClr val="FFC000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9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1346"/>
                        <a:gd name="adj2" fmla="val 74448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2808-45AA-B762-DA558906602D}"/>
                </c:ext>
              </c:extLst>
            </c:dLbl>
            <c:dLbl>
              <c:idx val="4"/>
              <c:layout>
                <c:manualLayout>
                  <c:x val="3.0650764242704954E-3"/>
                  <c:y val="-1.0919151076631392E-3"/>
                </c:manualLayout>
              </c:layout>
              <c:spPr>
                <a:solidFill>
                  <a:srgbClr val="0097E0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9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2415"/>
                        <a:gd name="adj2" fmla="val 72170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2808-45AA-B762-DA558906602D}"/>
                </c:ext>
              </c:extLst>
            </c:dLbl>
            <c:dLbl>
              <c:idx val="5"/>
              <c:layout>
                <c:manualLayout>
                  <c:x val="3.0650764242705856E-3"/>
                  <c:y val="-4.5864045864046467E-3"/>
                </c:manualLayout>
              </c:layout>
              <c:spPr>
                <a:solidFill>
                  <a:srgbClr val="0070C0"/>
                </a:solidFill>
                <a:ln w="9525" cap="flat" cmpd="sng" algn="ctr">
                  <a:noFill/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9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0"/>
                        <a:gd name="adj2" fmla="val 82929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2808-45AA-B762-DA558906602D}"/>
                </c:ext>
              </c:extLst>
            </c:dLbl>
            <c:dLbl>
              <c:idx val="6"/>
              <c:layout>
                <c:manualLayout>
                  <c:x val="3.0650764242704954E-3"/>
                  <c:y val="-1.1138411138411138E-2"/>
                </c:manualLayout>
              </c:layout>
              <c:spPr>
                <a:solidFill>
                  <a:srgbClr val="4A5BD1"/>
                </a:solidFill>
                <a:ln w="9525" cap="flat" cmpd="sng" algn="ctr">
                  <a:noFill/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9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3064"/>
                        <a:gd name="adj2" fmla="val 93550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6-2808-45AA-B762-DA558906602D}"/>
                </c:ext>
              </c:extLst>
            </c:dLbl>
            <c:dLbl>
              <c:idx val="7"/>
              <c:layout>
                <c:manualLayout>
                  <c:x val="6.1303458391230511E-3"/>
                  <c:y val="-1.0919924935673028E-2"/>
                </c:manualLayout>
              </c:layout>
              <c:spPr>
                <a:solidFill>
                  <a:srgbClr val="464CAC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>
                          <a:lumMod val="9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3343"/>
                        <a:gd name="adj2" fmla="val 83808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7-2808-45AA-B762-DA558906602D}"/>
                </c:ext>
              </c:extLst>
            </c:dLbl>
            <c:spPr>
              <a:solidFill>
                <a:srgbClr val="7BBDD5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'4 标注柱形图'!$B$3:$B$10</c:f>
              <c:strCache>
                <c:ptCount val="8"/>
                <c:pt idx="0">
                  <c:v>口红</c:v>
                </c:pt>
                <c:pt idx="1">
                  <c:v>面膜</c:v>
                </c:pt>
                <c:pt idx="2">
                  <c:v>隔离</c:v>
                </c:pt>
                <c:pt idx="3">
                  <c:v>防晒</c:v>
                </c:pt>
                <c:pt idx="4">
                  <c:v>精华</c:v>
                </c:pt>
                <c:pt idx="5">
                  <c:v>面霜</c:v>
                </c:pt>
                <c:pt idx="6">
                  <c:v>眼影</c:v>
                </c:pt>
                <c:pt idx="7">
                  <c:v>气垫</c:v>
                </c:pt>
              </c:strCache>
            </c:strRef>
          </c:cat>
          <c:val>
            <c:numRef>
              <c:f>'4 标注柱形图'!$C$3:$C$10</c:f>
              <c:numCache>
                <c:formatCode>General</c:formatCode>
                <c:ptCount val="8"/>
                <c:pt idx="0">
                  <c:v>9221</c:v>
                </c:pt>
                <c:pt idx="1">
                  <c:v>5102</c:v>
                </c:pt>
                <c:pt idx="2">
                  <c:v>6571</c:v>
                </c:pt>
                <c:pt idx="3">
                  <c:v>5760</c:v>
                </c:pt>
                <c:pt idx="4">
                  <c:v>6321</c:v>
                </c:pt>
                <c:pt idx="5">
                  <c:v>8612</c:v>
                </c:pt>
                <c:pt idx="6">
                  <c:v>2645</c:v>
                </c:pt>
                <c:pt idx="7">
                  <c:v>5321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08-45AA-B762-DA55890660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1018071384"/>
        <c:axId val="1018072368"/>
      </c:barChart>
      <c:catAx>
        <c:axId val="1018071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018072368"/>
        <c:crosses val="autoZero"/>
        <c:auto val="1"/>
        <c:lblAlgn val="ctr"/>
        <c:lblOffset val="100"/>
        <c:noMultiLvlLbl val="0"/>
      </c:catAx>
      <c:valAx>
        <c:axId val="1018072368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95000"/>
                  <a:alpha val="20000"/>
                </a:schemeClr>
              </a:solidFill>
              <a:prstDash val="lg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18071384"/>
        <c:crosses val="autoZero"/>
        <c:crossBetween val="between"/>
        <c:majorUnit val="2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1A1E43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235311146231121E-2"/>
          <c:y val="0.26426422855734538"/>
          <c:w val="0.80882349251649921"/>
          <c:h val="0.580615182478516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'5 层叠柱形图'!$C$2</c:f>
              <c:strCache>
                <c:ptCount val="1"/>
                <c:pt idx="0">
                  <c:v>销售额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 层叠柱形图'!$B$3:$B$8</c:f>
              <c:strCache>
                <c:ptCount val="6"/>
                <c:pt idx="0">
                  <c:v>2021Q1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2022Q1</c:v>
                </c:pt>
                <c:pt idx="5">
                  <c:v>Q2</c:v>
                </c:pt>
              </c:strCache>
            </c:strRef>
          </c:cat>
          <c:val>
            <c:numRef>
              <c:f>'5 层叠柱形图'!$C$3:$C$8</c:f>
              <c:numCache>
                <c:formatCode>0</c:formatCode>
                <c:ptCount val="6"/>
                <c:pt idx="0">
                  <c:v>3121</c:v>
                </c:pt>
                <c:pt idx="1">
                  <c:v>4086</c:v>
                </c:pt>
                <c:pt idx="2">
                  <c:v>4321</c:v>
                </c:pt>
                <c:pt idx="3">
                  <c:v>4601</c:v>
                </c:pt>
                <c:pt idx="4">
                  <c:v>4936</c:v>
                </c:pt>
                <c:pt idx="5" formatCode="General">
                  <c:v>4231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55-4DF8-B555-9DE7BFC013B0}"/>
            </c:ext>
          </c:extLst>
        </c:ser>
        <c:ser>
          <c:idx val="1"/>
          <c:order val="1"/>
          <c:tx>
            <c:strRef>
              <c:f>'5 层叠柱形图'!$D$2</c:f>
              <c:strCache>
                <c:ptCount val="1"/>
                <c:pt idx="0">
                  <c:v>利润额</c:v>
                </c:pt>
              </c:strCache>
            </c:strRef>
          </c:tx>
          <c:spPr>
            <a:solidFill>
              <a:srgbClr val="E74E69"/>
            </a:solidFill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0"/>
                  <c:y val="9.609607791802841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D55-4DF8-B555-9DE7BFC013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 层叠柱形图'!$B$3:$B$8</c:f>
              <c:strCache>
                <c:ptCount val="6"/>
                <c:pt idx="0">
                  <c:v>2021Q1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2022Q1</c:v>
                </c:pt>
                <c:pt idx="5">
                  <c:v>Q2</c:v>
                </c:pt>
              </c:strCache>
            </c:strRef>
          </c:cat>
          <c:val>
            <c:numRef>
              <c:f>'5 层叠柱形图'!$D$3:$D$8</c:f>
              <c:numCache>
                <c:formatCode>0</c:formatCode>
                <c:ptCount val="6"/>
                <c:pt idx="0">
                  <c:v>1020</c:v>
                </c:pt>
                <c:pt idx="1">
                  <c:v>1421</c:v>
                </c:pt>
                <c:pt idx="2">
                  <c:v>1502</c:v>
                </c:pt>
                <c:pt idx="3">
                  <c:v>1623</c:v>
                </c:pt>
                <c:pt idx="4">
                  <c:v>1781</c:v>
                </c:pt>
                <c:pt idx="5">
                  <c:v>1432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55-4DF8-B555-9DE7BFC013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30"/>
        <c:axId val="749475880"/>
        <c:axId val="749476208"/>
      </c:barChart>
      <c:catAx>
        <c:axId val="749475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95000"/>
                <a:alpha val="2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9476208"/>
        <c:crosses val="autoZero"/>
        <c:auto val="1"/>
        <c:lblAlgn val="ctr"/>
        <c:lblOffset val="100"/>
        <c:noMultiLvlLbl val="0"/>
      </c:catAx>
      <c:valAx>
        <c:axId val="749476208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749475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1A1E43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4313725490196081E-2"/>
          <c:y val="0.28485616938848751"/>
          <c:w val="0.94607843137254899"/>
          <c:h val="0.59845576122345734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'6 蝴蝶图'!$C$2</c:f>
              <c:strCache>
                <c:ptCount val="1"/>
                <c:pt idx="0">
                  <c:v>占位1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'6 蝴蝶图'!$B$3:$B$7</c:f>
              <c:strCache>
                <c:ptCount val="5"/>
                <c:pt idx="0">
                  <c:v>华东</c:v>
                </c:pt>
                <c:pt idx="1">
                  <c:v>西北</c:v>
                </c:pt>
                <c:pt idx="2">
                  <c:v>东北</c:v>
                </c:pt>
                <c:pt idx="3">
                  <c:v>华北</c:v>
                </c:pt>
                <c:pt idx="4">
                  <c:v>华南</c:v>
                </c:pt>
              </c:strCache>
            </c:strRef>
          </c:cat>
          <c:val>
            <c:numRef>
              <c:f>'6 蝴蝶图'!$C$3:$C$7</c:f>
              <c:numCache>
                <c:formatCode>General</c:formatCode>
                <c:ptCount val="5"/>
                <c:pt idx="0">
                  <c:v>2238</c:v>
                </c:pt>
                <c:pt idx="1">
                  <c:v>2132</c:v>
                </c:pt>
                <c:pt idx="2">
                  <c:v>2027</c:v>
                </c:pt>
                <c:pt idx="3">
                  <c:v>1922</c:v>
                </c:pt>
                <c:pt idx="4">
                  <c:v>1215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56-4843-9797-EB3DC7B471D6}"/>
            </c:ext>
          </c:extLst>
        </c:ser>
        <c:ser>
          <c:idx val="1"/>
          <c:order val="1"/>
          <c:tx>
            <c:strRef>
              <c:f>'6 蝴蝶图'!$D$2</c:f>
              <c:strCache>
                <c:ptCount val="1"/>
                <c:pt idx="0">
                  <c:v>2022年销量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 蝴蝶图'!$B$3:$B$7</c:f>
              <c:strCache>
                <c:ptCount val="5"/>
                <c:pt idx="0">
                  <c:v>华东</c:v>
                </c:pt>
                <c:pt idx="1">
                  <c:v>西北</c:v>
                </c:pt>
                <c:pt idx="2">
                  <c:v>东北</c:v>
                </c:pt>
                <c:pt idx="3">
                  <c:v>华北</c:v>
                </c:pt>
                <c:pt idx="4">
                  <c:v>华南</c:v>
                </c:pt>
              </c:strCache>
            </c:strRef>
          </c:cat>
          <c:val>
            <c:numRef>
              <c:f>'6 蝴蝶图'!$D$3:$D$7</c:f>
              <c:numCache>
                <c:formatCode>General</c:formatCode>
                <c:ptCount val="5"/>
                <c:pt idx="0">
                  <c:v>1215</c:v>
                </c:pt>
                <c:pt idx="1">
                  <c:v>1321</c:v>
                </c:pt>
                <c:pt idx="2">
                  <c:v>1426</c:v>
                </c:pt>
                <c:pt idx="3">
                  <c:v>1531</c:v>
                </c:pt>
                <c:pt idx="4">
                  <c:v>2238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56-4843-9797-EB3DC7B471D6}"/>
            </c:ext>
          </c:extLst>
        </c:ser>
        <c:ser>
          <c:idx val="2"/>
          <c:order val="2"/>
          <c:tx>
            <c:strRef>
              <c:f>'6 蝴蝶图'!$E$2</c:f>
              <c:strCache>
                <c:ptCount val="1"/>
                <c:pt idx="0">
                  <c:v>占位2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3948CFC2-3D40-4327-88D4-2E88D78D4386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2656-4843-9797-EB3DC7B471D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D1082F5-8DCD-499A-AFD7-012001DA484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2656-4843-9797-EB3DC7B471D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05FB50D-4DDC-4011-AB31-1DF9B77202E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2656-4843-9797-EB3DC7B471D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47447C3-31D5-43BB-8A5D-7763071200F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2656-4843-9797-EB3DC7B471D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B02A8EF-180A-4184-990A-0B1C0EE1E97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2656-4843-9797-EB3DC7B471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'6 蝴蝶图'!$B$3:$B$7</c:f>
              <c:strCache>
                <c:ptCount val="5"/>
                <c:pt idx="0">
                  <c:v>华东</c:v>
                </c:pt>
                <c:pt idx="1">
                  <c:v>西北</c:v>
                </c:pt>
                <c:pt idx="2">
                  <c:v>东北</c:v>
                </c:pt>
                <c:pt idx="3">
                  <c:v>华北</c:v>
                </c:pt>
                <c:pt idx="4">
                  <c:v>华南</c:v>
                </c:pt>
              </c:strCache>
            </c:strRef>
          </c:cat>
          <c:val>
            <c:numRef>
              <c:f>'6 蝴蝶图'!$E$3:$E$7</c:f>
              <c:numCache>
                <c:formatCode>General</c:formatCode>
                <c:ptCount val="5"/>
                <c:pt idx="0">
                  <c:v>1215</c:v>
                </c:pt>
                <c:pt idx="1">
                  <c:v>1215</c:v>
                </c:pt>
                <c:pt idx="2">
                  <c:v>1215</c:v>
                </c:pt>
                <c:pt idx="3">
                  <c:v>1215</c:v>
                </c:pt>
                <c:pt idx="4">
                  <c:v>1215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'6 蝴蝶图'!$B$3:$B$7</c15:f>
                <c15:dlblRangeCache>
                  <c:ptCount val="5"/>
                  <c:pt idx="0">
                    <c:v>华东</c:v>
                  </c:pt>
                  <c:pt idx="1">
                    <c:v>西北</c:v>
                  </c:pt>
                  <c:pt idx="2">
                    <c:v>东北</c:v>
                  </c:pt>
                  <c:pt idx="3">
                    <c:v>华北</c:v>
                  </c:pt>
                  <c:pt idx="4">
                    <c:v>华南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7-2656-4843-9797-EB3DC7B471D6}"/>
            </c:ext>
          </c:extLst>
        </c:ser>
        <c:ser>
          <c:idx val="3"/>
          <c:order val="3"/>
          <c:tx>
            <c:strRef>
              <c:f>'6 蝴蝶图'!$F$2</c:f>
              <c:strCache>
                <c:ptCount val="1"/>
                <c:pt idx="0">
                  <c:v>2021年销量</c:v>
                </c:pt>
              </c:strCache>
            </c:strRef>
          </c:tx>
          <c:spPr>
            <a:solidFill>
              <a:srgbClr val="E74E6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 蝴蝶图'!$B$3:$B$7</c:f>
              <c:strCache>
                <c:ptCount val="5"/>
                <c:pt idx="0">
                  <c:v>华东</c:v>
                </c:pt>
                <c:pt idx="1">
                  <c:v>西北</c:v>
                </c:pt>
                <c:pt idx="2">
                  <c:v>东北</c:v>
                </c:pt>
                <c:pt idx="3">
                  <c:v>华北</c:v>
                </c:pt>
                <c:pt idx="4">
                  <c:v>华南</c:v>
                </c:pt>
              </c:strCache>
            </c:strRef>
          </c:cat>
          <c:val>
            <c:numRef>
              <c:f>'6 蝴蝶图'!$F$3:$F$7</c:f>
              <c:numCache>
                <c:formatCode>General</c:formatCode>
                <c:ptCount val="5"/>
                <c:pt idx="0">
                  <c:v>1003</c:v>
                </c:pt>
                <c:pt idx="1">
                  <c:v>1265</c:v>
                </c:pt>
                <c:pt idx="2">
                  <c:v>1531</c:v>
                </c:pt>
                <c:pt idx="3">
                  <c:v>1436</c:v>
                </c:pt>
                <c:pt idx="4">
                  <c:v>2066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656-4843-9797-EB3DC7B471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73968192"/>
        <c:axId val="873968520"/>
      </c:barChart>
      <c:catAx>
        <c:axId val="8739681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73968520"/>
        <c:crosses val="autoZero"/>
        <c:auto val="1"/>
        <c:lblAlgn val="ctr"/>
        <c:lblOffset val="100"/>
        <c:noMultiLvlLbl val="0"/>
      </c:catAx>
      <c:valAx>
        <c:axId val="8739685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73968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1A1E43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08121043693066"/>
          <c:y val="0.28142424339873146"/>
          <c:w val="0.81654624054346148"/>
          <c:h val="0.60875166161639771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'8 数值百分比'!$C$2</c:f>
              <c:strCache>
                <c:ptCount val="1"/>
                <c:pt idx="0">
                  <c:v>销量</c:v>
                </c:pt>
              </c:strCache>
            </c:strRef>
          </c:tx>
          <c:spPr>
            <a:solidFill>
              <a:srgbClr val="09387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 数值百分比'!$B$3:$B$8</c:f>
              <c:strCache>
                <c:ptCount val="6"/>
                <c:pt idx="0">
                  <c:v>华北</c:v>
                </c:pt>
                <c:pt idx="1">
                  <c:v>华南</c:v>
                </c:pt>
                <c:pt idx="2">
                  <c:v>东北</c:v>
                </c:pt>
                <c:pt idx="3">
                  <c:v>西北</c:v>
                </c:pt>
                <c:pt idx="4">
                  <c:v>西南</c:v>
                </c:pt>
                <c:pt idx="5">
                  <c:v>华东</c:v>
                </c:pt>
              </c:strCache>
            </c:strRef>
          </c:cat>
          <c:val>
            <c:numRef>
              <c:f>'8 数值百分比'!$C$3:$C$8</c:f>
              <c:numCache>
                <c:formatCode>0</c:formatCode>
                <c:ptCount val="6"/>
                <c:pt idx="0">
                  <c:v>4321</c:v>
                </c:pt>
                <c:pt idx="1">
                  <c:v>1946</c:v>
                </c:pt>
                <c:pt idx="2">
                  <c:v>1536</c:v>
                </c:pt>
                <c:pt idx="3">
                  <c:v>1872</c:v>
                </c:pt>
                <c:pt idx="4">
                  <c:v>1369</c:v>
                </c:pt>
                <c:pt idx="5" formatCode="General">
                  <c:v>2109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EE-4D2E-A394-622C771C47EE}"/>
            </c:ext>
          </c:extLst>
        </c:ser>
        <c:ser>
          <c:idx val="1"/>
          <c:order val="1"/>
          <c:tx>
            <c:strRef>
              <c:f>'8 数值百分比'!$D$2</c:f>
              <c:strCache>
                <c:ptCount val="1"/>
                <c:pt idx="0">
                  <c:v>占位1</c:v>
                </c:pt>
              </c:strCache>
            </c:strRef>
          </c:tx>
          <c:spPr>
            <a:solidFill>
              <a:srgbClr val="82ADD7"/>
            </a:solidFill>
            <a:ln>
              <a:noFill/>
            </a:ln>
            <a:effectLst/>
          </c:spPr>
          <c:invertIfNegative val="0"/>
          <c:cat>
            <c:strRef>
              <c:f>'8 数值百分比'!$B$3:$B$8</c:f>
              <c:strCache>
                <c:ptCount val="6"/>
                <c:pt idx="0">
                  <c:v>华北</c:v>
                </c:pt>
                <c:pt idx="1">
                  <c:v>华南</c:v>
                </c:pt>
                <c:pt idx="2">
                  <c:v>东北</c:v>
                </c:pt>
                <c:pt idx="3">
                  <c:v>西北</c:v>
                </c:pt>
                <c:pt idx="4">
                  <c:v>西南</c:v>
                </c:pt>
                <c:pt idx="5">
                  <c:v>华东</c:v>
                </c:pt>
              </c:strCache>
            </c:strRef>
          </c:cat>
          <c:val>
            <c:numRef>
              <c:f>'8 数值百分比'!$D$3:$D$8</c:f>
              <c:numCache>
                <c:formatCode>0</c:formatCode>
                <c:ptCount val="6"/>
                <c:pt idx="0">
                  <c:v>0</c:v>
                </c:pt>
                <c:pt idx="1">
                  <c:v>2375</c:v>
                </c:pt>
                <c:pt idx="2">
                  <c:v>2785</c:v>
                </c:pt>
                <c:pt idx="3">
                  <c:v>2449</c:v>
                </c:pt>
                <c:pt idx="4">
                  <c:v>2952</c:v>
                </c:pt>
                <c:pt idx="5">
                  <c:v>2212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EE-4D2E-A394-622C771C47EE}"/>
            </c:ext>
          </c:extLst>
        </c:ser>
        <c:ser>
          <c:idx val="2"/>
          <c:order val="2"/>
          <c:tx>
            <c:strRef>
              <c:f>'8 数值百分比'!$E$2</c:f>
              <c:strCache>
                <c:ptCount val="1"/>
                <c:pt idx="0">
                  <c:v>占位2</c:v>
                </c:pt>
              </c:strCache>
            </c:strRef>
          </c:tx>
          <c:spPr>
            <a:solidFill>
              <a:srgbClr val="9B3D4F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27A5295A-C9FA-4C2F-9A55-E2845E945FAA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89EE-4D2E-A394-622C771C47E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B646EF0-B489-4C74-93F0-B8B4A62E98C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9EE-4D2E-A394-622C771C47E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D6D0690-888B-4F7B-A9CC-657FA5CD6AB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89EE-4D2E-A394-622C771C47E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2E32CE5-1604-42E1-B8A1-2C4AB54E2B3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89EE-4D2E-A394-622C771C47E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CF3B9C8-EC99-4E3D-8A3A-B53F55924B0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89EE-4D2E-A394-622C771C47E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B5EC3FC-4674-48DC-93EB-015F77E0AFF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89EE-4D2E-A394-622C771C47E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'8 数值百分比'!$B$3:$B$8</c:f>
              <c:strCache>
                <c:ptCount val="6"/>
                <c:pt idx="0">
                  <c:v>华北</c:v>
                </c:pt>
                <c:pt idx="1">
                  <c:v>华南</c:v>
                </c:pt>
                <c:pt idx="2">
                  <c:v>东北</c:v>
                </c:pt>
                <c:pt idx="3">
                  <c:v>西北</c:v>
                </c:pt>
                <c:pt idx="4">
                  <c:v>西南</c:v>
                </c:pt>
                <c:pt idx="5">
                  <c:v>华东</c:v>
                </c:pt>
              </c:strCache>
            </c:strRef>
          </c:cat>
          <c:val>
            <c:numRef>
              <c:f>'8 数值百分比'!$E$3:$E$8</c:f>
              <c:numCache>
                <c:formatCode>0</c:formatCode>
                <c:ptCount val="6"/>
                <c:pt idx="0">
                  <c:v>1080.25</c:v>
                </c:pt>
                <c:pt idx="1">
                  <c:v>1080.25</c:v>
                </c:pt>
                <c:pt idx="2">
                  <c:v>1080.25</c:v>
                </c:pt>
                <c:pt idx="3">
                  <c:v>1080.25</c:v>
                </c:pt>
                <c:pt idx="4">
                  <c:v>1080.25</c:v>
                </c:pt>
                <c:pt idx="5">
                  <c:v>1080.25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'8 数值百分比'!$F$3:$F$8</c15:f>
                <c15:dlblRangeCache>
                  <c:ptCount val="6"/>
                  <c:pt idx="0">
                    <c:v>-13.6%</c:v>
                  </c:pt>
                  <c:pt idx="1">
                    <c:v>-20.8%</c:v>
                  </c:pt>
                  <c:pt idx="2">
                    <c:v>-9.3%</c:v>
                  </c:pt>
                  <c:pt idx="3">
                    <c:v>-15.9%</c:v>
                  </c:pt>
                  <c:pt idx="4">
                    <c:v>-17.9%</c:v>
                  </c:pt>
                  <c:pt idx="5">
                    <c:v>-5.8%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89EE-4D2E-A394-622C771C47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1164805560"/>
        <c:axId val="1164804904"/>
      </c:barChart>
      <c:catAx>
        <c:axId val="1164805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4804904"/>
        <c:crosses val="autoZero"/>
        <c:auto val="1"/>
        <c:lblAlgn val="ctr"/>
        <c:lblOffset val="100"/>
        <c:noMultiLvlLbl val="0"/>
      </c:catAx>
      <c:valAx>
        <c:axId val="1164804904"/>
        <c:scaling>
          <c:orientation val="minMax"/>
        </c:scaling>
        <c:delete val="1"/>
        <c:axPos val="b"/>
        <c:numFmt formatCode="0" sourceLinked="1"/>
        <c:majorTickMark val="none"/>
        <c:minorTickMark val="none"/>
        <c:tickLblPos val="nextTo"/>
        <c:crossAx val="1164805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1A1E43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3725490196078427E-2"/>
          <c:y val="0.29142189259162665"/>
          <c:w val="0.85539215686274506"/>
          <c:h val="0.544775859776006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'9 对比柱形图'!$C$2</c:f>
              <c:strCache>
                <c:ptCount val="1"/>
                <c:pt idx="0">
                  <c:v>2021销量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'9 对比柱形图'!$B$3:$B$7</c:f>
              <c:strCache>
                <c:ptCount val="5"/>
                <c:pt idx="0">
                  <c:v>口红</c:v>
                </c:pt>
                <c:pt idx="1">
                  <c:v>面膜</c:v>
                </c:pt>
                <c:pt idx="2">
                  <c:v>隔离</c:v>
                </c:pt>
                <c:pt idx="3">
                  <c:v>防晒</c:v>
                </c:pt>
                <c:pt idx="4">
                  <c:v>精华</c:v>
                </c:pt>
              </c:strCache>
            </c:strRef>
          </c:cat>
          <c:val>
            <c:numRef>
              <c:f>'9 对比柱形图'!$C$3:$C$7</c:f>
              <c:numCache>
                <c:formatCode>0</c:formatCode>
                <c:ptCount val="5"/>
                <c:pt idx="0">
                  <c:v>3568</c:v>
                </c:pt>
                <c:pt idx="1">
                  <c:v>4135</c:v>
                </c:pt>
                <c:pt idx="2">
                  <c:v>4436</c:v>
                </c:pt>
                <c:pt idx="3">
                  <c:v>4106</c:v>
                </c:pt>
                <c:pt idx="4">
                  <c:v>4936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A5-4ABC-A5DA-490E806C3E0F}"/>
            </c:ext>
          </c:extLst>
        </c:ser>
        <c:ser>
          <c:idx val="1"/>
          <c:order val="1"/>
          <c:tx>
            <c:strRef>
              <c:f>'9 对比柱形图'!$D$2</c:f>
              <c:strCache>
                <c:ptCount val="1"/>
                <c:pt idx="0">
                  <c:v>2022销量</c:v>
                </c:pt>
              </c:strCache>
            </c:strRef>
          </c:tx>
          <c:spPr>
            <a:solidFill>
              <a:srgbClr val="82ADD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plus"/>
            <c:errValType val="cust"/>
            <c:noEndCap val="1"/>
            <c:plus>
              <c:numRef>
                <c:f>'9 对比柱形图'!$E$3:$E$7</c:f>
                <c:numCache>
                  <c:formatCode>General</c:formatCode>
                  <c:ptCount val="5"/>
                  <c:pt idx="0">
                    <c:v>999</c:v>
                  </c:pt>
                  <c:pt idx="1">
                    <c:v>894</c:v>
                  </c:pt>
                  <c:pt idx="2">
                    <c:v>1471</c:v>
                  </c:pt>
                  <c:pt idx="3">
                    <c:v>897</c:v>
                  </c:pt>
                  <c:pt idx="4">
                    <c:v>1395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bg1">
                    <a:lumMod val="95000"/>
                  </a:schemeClr>
                </a:solidFill>
                <a:round/>
                <a:headEnd type="none"/>
                <a:tailEnd type="triangle"/>
              </a:ln>
              <a:effectLst/>
            </c:spPr>
          </c:errBars>
          <c:cat>
            <c:strRef>
              <c:f>'9 对比柱形图'!$B$3:$B$7</c:f>
              <c:strCache>
                <c:ptCount val="5"/>
                <c:pt idx="0">
                  <c:v>口红</c:v>
                </c:pt>
                <c:pt idx="1">
                  <c:v>面膜</c:v>
                </c:pt>
                <c:pt idx="2">
                  <c:v>隔离</c:v>
                </c:pt>
                <c:pt idx="3">
                  <c:v>防晒</c:v>
                </c:pt>
                <c:pt idx="4">
                  <c:v>精华</c:v>
                </c:pt>
              </c:strCache>
            </c:strRef>
          </c:cat>
          <c:val>
            <c:numRef>
              <c:f>'9 对比柱形图'!$D$3:$D$7</c:f>
              <c:numCache>
                <c:formatCode>0</c:formatCode>
                <c:ptCount val="5"/>
                <c:pt idx="0">
                  <c:v>2569</c:v>
                </c:pt>
                <c:pt idx="1">
                  <c:v>3241</c:v>
                </c:pt>
                <c:pt idx="2">
                  <c:v>2965</c:v>
                </c:pt>
                <c:pt idx="3">
                  <c:v>3209</c:v>
                </c:pt>
                <c:pt idx="4">
                  <c:v>3541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A5-4ABC-A5DA-490E806C3E0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56944768"/>
        <c:axId val="656942144"/>
      </c:barChart>
      <c:lineChart>
        <c:grouping val="standard"/>
        <c:varyColors val="0"/>
        <c:ser>
          <c:idx val="2"/>
          <c:order val="2"/>
          <c:tx>
            <c:strRef>
              <c:f>'9 对比柱形图'!$C$2</c:f>
              <c:strCache>
                <c:ptCount val="1"/>
                <c:pt idx="0">
                  <c:v>2021销量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picture"/>
            <c:spPr>
              <a:blipFill>
                <a:blip xmlns:r="http://schemas.openxmlformats.org/officeDocument/2006/relationships" r:embed="rId1"/>
                <a:stretch>
                  <a:fillRect/>
                </a:stretch>
              </a:blipFill>
              <a:ln w="25400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1.1204454222633912E-2"/>
                  <c:y val="6.1300500112635756E-2"/>
                </c:manualLayout>
              </c:layout>
              <c:tx>
                <c:rich>
                  <a:bodyPr/>
                  <a:lstStyle/>
                  <a:p>
                    <a:fld id="{40F832CC-AEF5-49AF-91D9-7917BA21A2D7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9AA5-4ABC-A5DA-490E806C3E0F}"/>
                </c:ext>
              </c:extLst>
            </c:dLbl>
            <c:dLbl>
              <c:idx val="1"/>
              <c:layout>
                <c:manualLayout>
                  <c:x val="-1.1204454222633935E-2"/>
                  <c:y val="4.7786923247551627E-2"/>
                </c:manualLayout>
              </c:layout>
              <c:tx>
                <c:rich>
                  <a:bodyPr/>
                  <a:lstStyle/>
                  <a:p>
                    <a:fld id="{342D22FA-BADD-4F3F-9260-CA343798D230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9AA5-4ABC-A5DA-490E806C3E0F}"/>
                </c:ext>
              </c:extLst>
            </c:dLbl>
            <c:dLbl>
              <c:idx val="2"/>
              <c:layout>
                <c:manualLayout>
                  <c:x val="-1.435579743708516E-2"/>
                  <c:y val="8.5193838367563668E-2"/>
                </c:manualLayout>
              </c:layout>
              <c:tx>
                <c:rich>
                  <a:bodyPr/>
                  <a:lstStyle/>
                  <a:p>
                    <a:fld id="{AFE25DC9-1E6B-4CF6-9764-408882C1884E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9AA5-4ABC-A5DA-490E806C3E0F}"/>
                </c:ext>
              </c:extLst>
            </c:dLbl>
            <c:dLbl>
              <c:idx val="3"/>
              <c:layout>
                <c:manualLayout>
                  <c:x val="-1.085436930677783E-2"/>
                  <c:y val="5.0920491985096059E-2"/>
                </c:manualLayout>
              </c:layout>
              <c:tx>
                <c:rich>
                  <a:bodyPr/>
                  <a:lstStyle/>
                  <a:p>
                    <a:fld id="{08713399-C9A0-4399-A20F-DFEB52D385D1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9AA5-4ABC-A5DA-490E806C3E0F}"/>
                </c:ext>
              </c:extLst>
            </c:dLbl>
            <c:dLbl>
              <c:idx val="4"/>
              <c:layout>
                <c:manualLayout>
                  <c:x val="-4.901960784313905E-3"/>
                  <c:y val="7.5401559431585372E-2"/>
                </c:manualLayout>
              </c:layout>
              <c:tx>
                <c:rich>
                  <a:bodyPr/>
                  <a:lstStyle/>
                  <a:p>
                    <a:fld id="{6895A486-6D86-415B-A5FF-B5DA21493267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9AA5-4ABC-A5DA-490E806C3E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'9 对比柱形图'!$B$3:$B$7</c:f>
              <c:strCache>
                <c:ptCount val="5"/>
                <c:pt idx="0">
                  <c:v>口红</c:v>
                </c:pt>
                <c:pt idx="1">
                  <c:v>面膜</c:v>
                </c:pt>
                <c:pt idx="2">
                  <c:v>隔离</c:v>
                </c:pt>
                <c:pt idx="3">
                  <c:v>防晒</c:v>
                </c:pt>
                <c:pt idx="4">
                  <c:v>精华</c:v>
                </c:pt>
              </c:strCache>
            </c:strRef>
          </c:cat>
          <c:val>
            <c:numRef>
              <c:f>'9 对比柱形图'!$C$3:$C$7</c:f>
              <c:numCache>
                <c:formatCode>0</c:formatCode>
                <c:ptCount val="5"/>
                <c:pt idx="0">
                  <c:v>3568</c:v>
                </c:pt>
                <c:pt idx="1">
                  <c:v>4135</c:v>
                </c:pt>
                <c:pt idx="2">
                  <c:v>4436</c:v>
                </c:pt>
                <c:pt idx="3">
                  <c:v>4106</c:v>
                </c:pt>
                <c:pt idx="4">
                  <c:v>4936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'9 对比柱形图'!$E$3:$E$7</c15:f>
                <c15:dlblRangeCache>
                  <c:ptCount val="5"/>
                  <c:pt idx="0">
                    <c:v>999</c:v>
                  </c:pt>
                  <c:pt idx="1">
                    <c:v>894</c:v>
                  </c:pt>
                  <c:pt idx="2">
                    <c:v>1471</c:v>
                  </c:pt>
                  <c:pt idx="3">
                    <c:v>897</c:v>
                  </c:pt>
                  <c:pt idx="4">
                    <c:v>1395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7-9AA5-4ABC-A5DA-490E806C3E0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56944768"/>
        <c:axId val="656942144"/>
      </c:lineChart>
      <c:catAx>
        <c:axId val="656944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bg1">
                <a:lumMod val="95000"/>
                <a:alpha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6942144"/>
        <c:crosses val="autoZero"/>
        <c:auto val="1"/>
        <c:lblAlgn val="ctr"/>
        <c:lblOffset val="100"/>
        <c:noMultiLvlLbl val="0"/>
      </c:catAx>
      <c:valAx>
        <c:axId val="656942144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656944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ayout>
        <c:manualLayout>
          <c:xMode val="edge"/>
          <c:yMode val="edge"/>
          <c:x val="5.0342365292573715E-2"/>
          <c:y val="0.26691590463785447"/>
          <c:w val="0.27133240697853944"/>
          <c:h val="5.28793425526051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1A1E43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2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559865007057803"/>
          <c:y val="0.22376064832968201"/>
          <c:w val="0.74318275115993693"/>
          <c:h val="0.7178953012096054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'10 甘特图'!$C$3</c:f>
              <c:strCache>
                <c:ptCount val="1"/>
                <c:pt idx="0">
                  <c:v>开始日期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'10 甘特图'!$F$4:$F$10</c:f>
                <c:numCache>
                  <c:formatCode>General</c:formatCode>
                  <c:ptCount val="7"/>
                  <c:pt idx="0">
                    <c:v>5.61</c:v>
                  </c:pt>
                  <c:pt idx="1">
                    <c:v>2.56</c:v>
                  </c:pt>
                  <c:pt idx="2">
                    <c:v>2.1</c:v>
                  </c:pt>
                  <c:pt idx="3">
                    <c:v>11.049999999999999</c:v>
                  </c:pt>
                  <c:pt idx="4">
                    <c:v>8.64</c:v>
                  </c:pt>
                  <c:pt idx="5">
                    <c:v>9.5200000000000014</c:v>
                  </c:pt>
                  <c:pt idx="6">
                    <c:v>4.7600000000000007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84150" cap="flat" cmpd="sng" algn="ctr">
                <a:solidFill>
                  <a:srgbClr val="00B0F0">
                    <a:alpha val="80000"/>
                  </a:srgbClr>
                </a:solidFill>
                <a:round/>
              </a:ln>
              <a:effectLst/>
            </c:spPr>
          </c:errBars>
          <c:cat>
            <c:strRef>
              <c:f>'10 甘特图'!$B$4:$B$10</c:f>
              <c:strCache>
                <c:ptCount val="7"/>
                <c:pt idx="0">
                  <c:v>制定计划</c:v>
                </c:pt>
                <c:pt idx="1">
                  <c:v>方案设计</c:v>
                </c:pt>
                <c:pt idx="2">
                  <c:v>资源调配</c:v>
                </c:pt>
                <c:pt idx="3">
                  <c:v>第一阶段</c:v>
                </c:pt>
                <c:pt idx="4">
                  <c:v>第二阶段</c:v>
                </c:pt>
                <c:pt idx="5">
                  <c:v>第三阶段</c:v>
                </c:pt>
                <c:pt idx="6">
                  <c:v>项目总结</c:v>
                </c:pt>
              </c:strCache>
            </c:strRef>
          </c:cat>
          <c:val>
            <c:numRef>
              <c:f>'10 甘特图'!$C$4:$C$10</c:f>
              <c:numCache>
                <c:formatCode>m/d/yyyy</c:formatCode>
                <c:ptCount val="7"/>
                <c:pt idx="0">
                  <c:v>44621</c:v>
                </c:pt>
                <c:pt idx="1">
                  <c:v>44633</c:v>
                </c:pt>
                <c:pt idx="2">
                  <c:v>44642</c:v>
                </c:pt>
                <c:pt idx="3">
                  <c:v>44653</c:v>
                </c:pt>
                <c:pt idx="4">
                  <c:v>44667</c:v>
                </c:pt>
                <c:pt idx="5">
                  <c:v>44692</c:v>
                </c:pt>
                <c:pt idx="6">
                  <c:v>44707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95-4F44-A4B3-F75E6AB88378}"/>
            </c:ext>
          </c:extLst>
        </c:ser>
        <c:ser>
          <c:idx val="1"/>
          <c:order val="1"/>
          <c:tx>
            <c:strRef>
              <c:f>'10 甘特图'!$D$3</c:f>
              <c:strCache>
                <c:ptCount val="1"/>
                <c:pt idx="0">
                  <c:v>项目天数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A17EE4B9-976D-46BF-A8B1-DFE32B708B78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5A95-4F44-A4B3-F75E6AB8837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CEA4C6C-E896-441E-9643-5B4E43111CF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5A95-4F44-A4B3-F75E6AB8837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71E56EC-0AD6-4B78-BEA1-A91C5245070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5A95-4F44-A4B3-F75E6AB8837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4E6621C-46DA-4028-9C31-A1F33C2C292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A95-4F44-A4B3-F75E6AB8837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1F94F2D-F461-4D5F-99BD-1FD1A22ABFA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5A95-4F44-A4B3-F75E6AB8837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E9DCDCA-B88F-4472-B816-96606D4C278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A95-4F44-A4B3-F75E6AB88378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DB4C311-53B1-4FE3-B943-6B2510B9384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5A95-4F44-A4B3-F75E6AB8837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'10 甘特图'!$B$4:$B$10</c:f>
              <c:strCache>
                <c:ptCount val="7"/>
                <c:pt idx="0">
                  <c:v>制定计划</c:v>
                </c:pt>
                <c:pt idx="1">
                  <c:v>方案设计</c:v>
                </c:pt>
                <c:pt idx="2">
                  <c:v>资源调配</c:v>
                </c:pt>
                <c:pt idx="3">
                  <c:v>第一阶段</c:v>
                </c:pt>
                <c:pt idx="4">
                  <c:v>第二阶段</c:v>
                </c:pt>
                <c:pt idx="5">
                  <c:v>第三阶段</c:v>
                </c:pt>
                <c:pt idx="6">
                  <c:v>项目总结</c:v>
                </c:pt>
              </c:strCache>
            </c:strRef>
          </c:cat>
          <c:val>
            <c:numRef>
              <c:f>'10 甘特图'!$D$4:$D$10</c:f>
              <c:numCache>
                <c:formatCode>0</c:formatCode>
                <c:ptCount val="7"/>
                <c:pt idx="0">
                  <c:v>11</c:v>
                </c:pt>
                <c:pt idx="1">
                  <c:v>8</c:v>
                </c:pt>
                <c:pt idx="2">
                  <c:v>10</c:v>
                </c:pt>
                <c:pt idx="3">
                  <c:v>13</c:v>
                </c:pt>
                <c:pt idx="4">
                  <c:v>24</c:v>
                </c:pt>
                <c:pt idx="5">
                  <c:v>14</c:v>
                </c:pt>
                <c:pt idx="6" formatCode="General">
                  <c:v>7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'10 甘特图'!$E$4:$E$10</c15:f>
                <c15:dlblRangeCache>
                  <c:ptCount val="7"/>
                  <c:pt idx="0">
                    <c:v>51%</c:v>
                  </c:pt>
                  <c:pt idx="1">
                    <c:v>32%</c:v>
                  </c:pt>
                  <c:pt idx="2">
                    <c:v>21%</c:v>
                  </c:pt>
                  <c:pt idx="3">
                    <c:v>85%</c:v>
                  </c:pt>
                  <c:pt idx="4">
                    <c:v>36%</c:v>
                  </c:pt>
                  <c:pt idx="5">
                    <c:v>68%</c:v>
                  </c:pt>
                  <c:pt idx="6">
                    <c:v>68%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5A95-4F44-A4B3-F75E6AB88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897541984"/>
        <c:axId val="897546904"/>
      </c:barChart>
      <c:catAx>
        <c:axId val="8975419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97546904"/>
        <c:crosses val="autoZero"/>
        <c:auto val="1"/>
        <c:lblAlgn val="ctr"/>
        <c:lblOffset val="100"/>
        <c:noMultiLvlLbl val="0"/>
      </c:catAx>
      <c:valAx>
        <c:axId val="897546904"/>
        <c:scaling>
          <c:orientation val="minMax"/>
          <c:max val="44726"/>
          <c:min val="44621"/>
        </c:scaling>
        <c:delete val="0"/>
        <c:axPos val="t"/>
        <c:majorGridlines>
          <c:spPr>
            <a:ln w="6350" cap="flat" cmpd="sng" algn="ctr">
              <a:solidFill>
                <a:schemeClr val="bg1">
                  <a:lumMod val="95000"/>
                  <a:alpha val="40000"/>
                </a:schemeClr>
              </a:solidFill>
              <a:prstDash val="lgDash"/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97541984"/>
        <c:crosses val="autoZero"/>
        <c:crossBetween val="between"/>
        <c:majorUnit val="1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1A1E43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89671144048171"/>
          <c:y val="0.2923847646798442"/>
          <c:w val="0.84359618650609847"/>
          <c:h val="0.4701066067940679"/>
        </c:manualLayout>
      </c:layout>
      <c:lineChart>
        <c:grouping val="standard"/>
        <c:varyColors val="0"/>
        <c:ser>
          <c:idx val="0"/>
          <c:order val="0"/>
          <c:tx>
            <c:strRef>
              <c:f>'11 平滑折线图'!$D$2</c:f>
              <c:strCache>
                <c:ptCount val="1"/>
                <c:pt idx="0">
                  <c:v>销量</c:v>
                </c:pt>
              </c:strCache>
            </c:strRef>
          </c:tx>
          <c:spPr>
            <a:ln w="12700" cap="rnd">
              <a:solidFill>
                <a:srgbClr val="E66B4C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A71-4AA8-A137-AA1E72E6A55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'11 平滑折线图'!$C$3:$C$13</c:f>
              <c:strCache>
                <c:ptCount val="11"/>
                <c:pt idx="0">
                  <c:v>5月</c:v>
                </c:pt>
                <c:pt idx="1">
                  <c:v>6月</c:v>
                </c:pt>
                <c:pt idx="2">
                  <c:v>7月</c:v>
                </c:pt>
                <c:pt idx="3">
                  <c:v>8月</c:v>
                </c:pt>
                <c:pt idx="4">
                  <c:v>9月</c:v>
                </c:pt>
                <c:pt idx="5">
                  <c:v>10月</c:v>
                </c:pt>
                <c:pt idx="6">
                  <c:v>11月</c:v>
                </c:pt>
                <c:pt idx="7">
                  <c:v>12月</c:v>
                </c:pt>
                <c:pt idx="8">
                  <c:v>1月</c:v>
                </c:pt>
                <c:pt idx="9">
                  <c:v>2月</c:v>
                </c:pt>
                <c:pt idx="10">
                  <c:v>3月</c:v>
                </c:pt>
              </c:strCache>
            </c:strRef>
          </c:cat>
          <c:val>
            <c:numRef>
              <c:f>'11 平滑折线图'!$D$3:$D$13</c:f>
              <c:numCache>
                <c:formatCode>General</c:formatCode>
                <c:ptCount val="11"/>
                <c:pt idx="0">
                  <c:v>146</c:v>
                </c:pt>
                <c:pt idx="1">
                  <c:v>198</c:v>
                </c:pt>
                <c:pt idx="2">
                  <c:v>296</c:v>
                </c:pt>
                <c:pt idx="3">
                  <c:v>412</c:v>
                </c:pt>
                <c:pt idx="4">
                  <c:v>506</c:v>
                </c:pt>
                <c:pt idx="5">
                  <c:v>615</c:v>
                </c:pt>
                <c:pt idx="6">
                  <c:v>789</c:v>
                </c:pt>
                <c:pt idx="7">
                  <c:v>1021</c:v>
                </c:pt>
                <c:pt idx="8">
                  <c:v>3782</c:v>
                </c:pt>
                <c:pt idx="9">
                  <c:v>3215</c:v>
                </c:pt>
                <c:pt idx="10">
                  <c:v>2936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FF9-446F-A084-90379B07CFE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16759208"/>
        <c:axId val="916762160"/>
      </c:lineChart>
      <c:catAx>
        <c:axId val="916759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rgbClr val="D9D9D9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16762160"/>
        <c:crosses val="autoZero"/>
        <c:auto val="1"/>
        <c:lblAlgn val="ctr"/>
        <c:lblOffset val="100"/>
        <c:noMultiLvlLbl val="0"/>
      </c:catAx>
      <c:valAx>
        <c:axId val="916762160"/>
        <c:scaling>
          <c:orientation val="minMax"/>
          <c:max val="4000"/>
        </c:scaling>
        <c:delete val="0"/>
        <c:axPos val="l"/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E66B4C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16759208"/>
        <c:crosses val="autoZero"/>
        <c:crossBetween val="between"/>
        <c:majorUnit val="1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1A1E43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845188119866157E-2"/>
          <c:y val="0.27727852489010746"/>
          <c:w val="0.8652580198002231"/>
          <c:h val="0.54677535345127803"/>
        </c:manualLayout>
      </c:layout>
      <c:lineChart>
        <c:grouping val="standard"/>
        <c:varyColors val="0"/>
        <c:ser>
          <c:idx val="0"/>
          <c:order val="0"/>
          <c:tx>
            <c:strRef>
              <c:f>'12 菱形走势图'!$C$2</c:f>
              <c:strCache>
                <c:ptCount val="1"/>
                <c:pt idx="0">
                  <c:v>完成率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1A1E43"/>
              </a:solidFill>
              <a:ln w="9525">
                <a:solidFill>
                  <a:srgbClr val="E74E69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'12 菱形走势图'!$B$3:$B$10</c:f>
              <c:strCache>
                <c:ptCount val="8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</c:strCache>
            </c:strRef>
          </c:cat>
          <c:val>
            <c:numRef>
              <c:f>'12 菱形走势图'!$C$3:$C$10</c:f>
              <c:numCache>
                <c:formatCode>0.00%</c:formatCode>
                <c:ptCount val="8"/>
                <c:pt idx="0">
                  <c:v>0.53600000000000003</c:v>
                </c:pt>
                <c:pt idx="1">
                  <c:v>0.498</c:v>
                </c:pt>
                <c:pt idx="2">
                  <c:v>0.52700000000000002</c:v>
                </c:pt>
                <c:pt idx="3">
                  <c:v>0.70799999999999996</c:v>
                </c:pt>
                <c:pt idx="4">
                  <c:v>0.60899999999999999</c:v>
                </c:pt>
                <c:pt idx="5">
                  <c:v>0.496</c:v>
                </c:pt>
                <c:pt idx="6">
                  <c:v>0.58599999999999997</c:v>
                </c:pt>
                <c:pt idx="7">
                  <c:v>0.70399999999999996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D6-4187-9428-DFDE888B1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rgbClr val="E74E69"/>
              </a:solidFill>
              <a:round/>
            </a:ln>
            <a:effectLst/>
          </c:spPr>
        </c:dropLines>
        <c:marker val="1"/>
        <c:smooth val="0"/>
        <c:axId val="744707624"/>
        <c:axId val="744705656"/>
      </c:lineChart>
      <c:catAx>
        <c:axId val="744707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bg1">
                <a:lumMod val="95000"/>
                <a:alpha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4705656"/>
        <c:crosses val="autoZero"/>
        <c:auto val="1"/>
        <c:lblAlgn val="ctr"/>
        <c:lblOffset val="100"/>
        <c:noMultiLvlLbl val="0"/>
      </c:catAx>
      <c:valAx>
        <c:axId val="744705656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744707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1A1E43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12042612320518"/>
          <c:y val="0.3588933815705469"/>
          <c:w val="0.81350702485718696"/>
          <c:h val="0.48976042613837895"/>
        </c:manualLayout>
      </c:layout>
      <c:lineChart>
        <c:grouping val="standard"/>
        <c:varyColors val="0"/>
        <c:ser>
          <c:idx val="0"/>
          <c:order val="0"/>
          <c:tx>
            <c:strRef>
              <c:f>'13 对比折线图'!$C$2</c:f>
              <c:strCache>
                <c:ptCount val="1"/>
                <c:pt idx="0">
                  <c:v>2021年</c:v>
                </c:pt>
              </c:strCache>
            </c:strRef>
          </c:tx>
          <c:spPr>
            <a:ln w="19050" cap="rnd">
              <a:solidFill>
                <a:srgbClr val="E74E69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74E69"/>
              </a:solidFill>
              <a:ln w="9525">
                <a:solidFill>
                  <a:srgbClr val="1A1E43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4.9355742296918768E-2"/>
                  <c:y val="3.83219834007235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23E-4364-AC38-8D646FCC550B}"/>
                </c:ext>
              </c:extLst>
            </c:dLbl>
            <c:dLbl>
              <c:idx val="3"/>
              <c:layout>
                <c:manualLayout>
                  <c:x val="-5.2156862745098141E-2"/>
                  <c:y val="4.7330992409732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23E-4364-AC38-8D646FCC550B}"/>
                </c:ext>
              </c:extLst>
            </c:dLbl>
            <c:dLbl>
              <c:idx val="4"/>
              <c:layout>
                <c:manualLayout>
                  <c:x val="-5.2156862745098037E-2"/>
                  <c:y val="5.1835496914237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23E-4364-AC38-8D646FCC550B}"/>
                </c:ext>
              </c:extLst>
            </c:dLbl>
            <c:dLbl>
              <c:idx val="5"/>
              <c:layout>
                <c:manualLayout>
                  <c:x val="-5.215686274509794E-2"/>
                  <c:y val="4.73309924097324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23E-4364-AC38-8D646FCC55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'13 对比折线图'!$B$3:$B$8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'13 对比折线图'!$C$3:$C$8</c:f>
              <c:numCache>
                <c:formatCode>General</c:formatCode>
                <c:ptCount val="6"/>
                <c:pt idx="0">
                  <c:v>1686</c:v>
                </c:pt>
                <c:pt idx="1">
                  <c:v>1345</c:v>
                </c:pt>
                <c:pt idx="2">
                  <c:v>1934</c:v>
                </c:pt>
                <c:pt idx="3">
                  <c:v>1658</c:v>
                </c:pt>
                <c:pt idx="4">
                  <c:v>1865</c:v>
                </c:pt>
                <c:pt idx="5">
                  <c:v>1936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9D-4BA6-928A-36DBD48C5C0E}"/>
            </c:ext>
          </c:extLst>
        </c:ser>
        <c:ser>
          <c:idx val="1"/>
          <c:order val="1"/>
          <c:tx>
            <c:strRef>
              <c:f>'13 对比折线图'!$D$2</c:f>
              <c:strCache>
                <c:ptCount val="1"/>
                <c:pt idx="0">
                  <c:v>2022年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1A1E4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2156862745098037E-2"/>
                  <c:y val="5.1835496914237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23E-4364-AC38-8D646FCC550B}"/>
                </c:ext>
              </c:extLst>
            </c:dLbl>
            <c:dLbl>
              <c:idx val="2"/>
              <c:layout>
                <c:manualLayout>
                  <c:x val="-4.9355742296918817E-2"/>
                  <c:y val="4.28264879052279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23E-4364-AC38-8D646FCC55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'13 对比折线图'!$B$3:$B$8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'13 对比折线图'!$D$3:$D$8</c:f>
              <c:numCache>
                <c:formatCode>General</c:formatCode>
                <c:ptCount val="6"/>
                <c:pt idx="0">
                  <c:v>1385</c:v>
                </c:pt>
                <c:pt idx="1">
                  <c:v>1846</c:v>
                </c:pt>
                <c:pt idx="2">
                  <c:v>1654</c:v>
                </c:pt>
                <c:pt idx="3">
                  <c:v>1936</c:v>
                </c:pt>
                <c:pt idx="4">
                  <c:v>2564</c:v>
                </c:pt>
                <c:pt idx="5">
                  <c:v>2236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9D-4BA6-928A-36DBD48C5C0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1134280"/>
        <c:axId val="1121138872"/>
      </c:lineChart>
      <c:catAx>
        <c:axId val="1121134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21138872"/>
        <c:crosses val="autoZero"/>
        <c:auto val="1"/>
        <c:lblAlgn val="ctr"/>
        <c:lblOffset val="100"/>
        <c:noMultiLvlLbl val="0"/>
      </c:catAx>
      <c:valAx>
        <c:axId val="1121138872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95000"/>
                  <a:alpha val="20000"/>
                </a:schemeClr>
              </a:solidFill>
              <a:prstDash val="lg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21134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63850972672533579"/>
          <c:y val="0.27300018701593504"/>
          <c:w val="0.30141172610776595"/>
          <c:h val="5.06760303610697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1A1E43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1">
              <a:lumMod val="95000"/>
            </a:schemeClr>
          </a:solidFill>
        </a:defRPr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733460707117493"/>
          <c:y val="0.27674437501209154"/>
          <c:w val="0.42248764860274818"/>
          <c:h val="0.56470093572455782"/>
        </c:manualLayout>
      </c:layout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gradFill>
                <a:gsLst>
                  <a:gs pos="0">
                    <a:srgbClr val="7030A0"/>
                  </a:gs>
                  <a:gs pos="100000">
                    <a:srgbClr val="E74E69"/>
                  </a:gs>
                </a:gsLst>
                <a:lin ang="5400000" scaled="1"/>
              </a:gra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EB9-47F4-891C-004C3A92B79B}"/>
              </c:ext>
            </c:extLst>
          </c:dPt>
          <c:dPt>
            <c:idx val="1"/>
            <c:bubble3D val="0"/>
            <c:spPr>
              <a:solidFill>
                <a:schemeClr val="bg1">
                  <a:lumMod val="95000"/>
                  <a:alpha val="1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EB9-47F4-891C-004C3A92B79B}"/>
              </c:ext>
            </c:extLst>
          </c:dPt>
          <c:cat>
            <c:strRef>
              <c:f>'14 单值圆环图'!$B$2:$C$2</c:f>
              <c:strCache>
                <c:ptCount val="2"/>
                <c:pt idx="0">
                  <c:v>完成率</c:v>
                </c:pt>
                <c:pt idx="1">
                  <c:v>占位</c:v>
                </c:pt>
              </c:strCache>
            </c:strRef>
          </c:cat>
          <c:val>
            <c:numRef>
              <c:f>'14 单值圆环图'!$B$3:$C$3</c:f>
              <c:numCache>
                <c:formatCode>0%</c:formatCode>
                <c:ptCount val="2"/>
                <c:pt idx="0">
                  <c:v>0.85</c:v>
                </c:pt>
                <c:pt idx="1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85-40E2-A15F-D472E933B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300"/>
        <c:holeSize val="9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1A1E43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'15 水球图'!$B$2</c:f>
              <c:strCache>
                <c:ptCount val="1"/>
                <c:pt idx="0">
                  <c:v>完成率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3">
                  <a:extLst>
                    <a:ext uri="{96DAC541-7B7A-43D3-8B79-37D633B846F1}">
                      <asvg:svgBlip xmlns:asvg="http://schemas.microsoft.com/office/drawing/2016/SVG/main" r:embed="rId4"/>
                    </a:ext>
                  </a:extLst>
                </a:blip>
                <a:stretch>
                  <a:fillRect/>
                </a:stretch>
              </a:blipFill>
              <a:ln>
                <a:noFill/>
              </a:ln>
              <a:effectLst/>
            </c:spPr>
            <c:pictureOptions>
              <c:pictureFormat val="stackScale"/>
            </c:pictureOptions>
            <c:extLst>
              <c:ext xmlns:c16="http://schemas.microsoft.com/office/drawing/2014/chart" uri="{C3380CC4-5D6E-409C-BE32-E72D297353CC}">
                <c16:uniqueId val="{00000001-7DED-4AE8-BD46-B42A824F463F}"/>
              </c:ext>
            </c:extLst>
          </c:dPt>
          <c:val>
            <c:numRef>
              <c:f>'15 水球图'!$B$3</c:f>
              <c:numCache>
                <c:formatCode>0%</c:formatCode>
                <c:ptCount val="1"/>
                <c:pt idx="0">
                  <c:v>0.65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DED-4AE8-BD46-B42A824F463F}"/>
            </c:ext>
          </c:extLst>
        </c:ser>
        <c:ser>
          <c:idx val="1"/>
          <c:order val="1"/>
          <c:tx>
            <c:strRef>
              <c:f>'15 水球图'!$C$2</c:f>
              <c:strCache>
                <c:ptCount val="1"/>
                <c:pt idx="0">
                  <c:v>辅助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5">
                  <a:extLst>
                    <a:ext uri="{96DAC541-7B7A-43D3-8B79-37D633B846F1}">
                      <asvg:svgBlip xmlns:asvg="http://schemas.microsoft.com/office/drawing/2016/SVG/main" r:embed="rId6"/>
                    </a:ext>
                  </a:extLst>
                </a:blip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034-460E-9AD3-F145F4988871}"/>
              </c:ext>
            </c:extLst>
          </c:dPt>
          <c:val>
            <c:numRef>
              <c:f>'15 水球图'!$C$3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DED-4AE8-BD46-B42A824F4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887169504"/>
        <c:axId val="887170160"/>
      </c:barChart>
      <c:catAx>
        <c:axId val="8871695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87170160"/>
        <c:crosses val="autoZero"/>
        <c:auto val="1"/>
        <c:lblAlgn val="ctr"/>
        <c:lblOffset val="100"/>
        <c:noMultiLvlLbl val="0"/>
      </c:catAx>
      <c:valAx>
        <c:axId val="887170160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887169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1A1E43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7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12</xdr:col>
      <xdr:colOff>0</xdr:colOff>
      <xdr:row>23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0.06036</cdr:x>
      <cdr:y>0.06209</cdr:y>
    </cdr:from>
    <cdr:to>
      <cdr:x>0.95742</cdr:x>
      <cdr:y>0.26225</cdr:y>
    </cdr:to>
    <cdr:sp macro="" textlink="">
      <cdr:nvSpPr>
        <cdr:cNvPr id="2" name="文本框 11">
          <a:extLst xmlns:a="http://schemas.openxmlformats.org/drawingml/2006/main">
            <a:ext uri="{FF2B5EF4-FFF2-40B4-BE49-F238E27FC236}">
              <a16:creationId xmlns:a16="http://schemas.microsoft.com/office/drawing/2014/main" id="{BA7EF876-CBFC-78D9-4396-C3BF9FECA0CB}"/>
            </a:ext>
          </a:extLst>
        </cdr:cNvPr>
        <cdr:cNvSpPr txBox="1"/>
      </cdr:nvSpPr>
      <cdr:spPr>
        <a:xfrm xmlns:a="http://schemas.openxmlformats.org/drawingml/2006/main">
          <a:off x="312743" y="241309"/>
          <a:ext cx="4648206" cy="7778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>
            <a:lnSpc>
              <a:spcPts val="2400"/>
            </a:lnSpc>
          </a:pPr>
          <a:r>
            <a:rPr lang="en-US" altLang="zh-CN" sz="20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3</a:t>
          </a:r>
          <a:r>
            <a:rPr lang="zh-CN" altLang="en-US" sz="20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月各区域销量分布</a:t>
          </a:r>
          <a:endParaRPr lang="en-US" altLang="zh-CN" sz="2000" b="1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 xmlns:a="http://schemas.openxmlformats.org/drawingml/2006/main">
          <a:pPr algn="l">
            <a:lnSpc>
              <a:spcPts val="2400"/>
            </a:lnSpc>
          </a:pPr>
          <a:r>
            <a:rPr lang="zh-CN" altLang="en-US" sz="14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东北销量最多占比总销量的</a:t>
          </a:r>
          <a:r>
            <a:rPr lang="en-US" altLang="zh-CN" sz="14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22%</a:t>
          </a:r>
          <a:r>
            <a:rPr lang="zh-CN" altLang="en-US" sz="14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，华南销量最低</a:t>
          </a:r>
          <a:endParaRPr lang="zh-CN" altLang="en-US" sz="1200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  <cdr:relSizeAnchor xmlns:cdr="http://schemas.openxmlformats.org/drawingml/2006/chartDrawing">
    <cdr:from>
      <cdr:x>0.04198</cdr:x>
      <cdr:y>0.91625</cdr:y>
    </cdr:from>
    <cdr:to>
      <cdr:x>0.84345</cdr:x>
      <cdr:y>0.98121</cdr:y>
    </cdr:to>
    <cdr:sp macro="" textlink="">
      <cdr:nvSpPr>
        <cdr:cNvPr id="3" name="文本框 12">
          <a:extLst xmlns:a="http://schemas.openxmlformats.org/drawingml/2006/main">
            <a:ext uri="{FF2B5EF4-FFF2-40B4-BE49-F238E27FC236}">
              <a16:creationId xmlns:a16="http://schemas.microsoft.com/office/drawing/2014/main" id="{D9D1662E-2270-4FCE-9CFD-94347B6BF938}"/>
            </a:ext>
          </a:extLst>
        </cdr:cNvPr>
        <cdr:cNvSpPr txBox="1"/>
      </cdr:nvSpPr>
      <cdr:spPr>
        <a:xfrm xmlns:a="http://schemas.openxmlformats.org/drawingml/2006/main">
          <a:off x="217517" y="3560740"/>
          <a:ext cx="4152897" cy="25244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800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*</a:t>
          </a:r>
          <a:r>
            <a:rPr lang="zh-CN" altLang="en-US" sz="800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注：数据来源于公司销售系统，统计日期截至</a:t>
          </a:r>
          <a:r>
            <a:rPr lang="en-US" altLang="zh-CN" sz="800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2022.03.31</a:t>
          </a:r>
          <a:endParaRPr lang="zh-CN" altLang="en-US" sz="800">
            <a:solidFill>
              <a:schemeClr val="bg1">
                <a:lumMod val="85000"/>
              </a:schemeClr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15</xdr:col>
      <xdr:colOff>0</xdr:colOff>
      <xdr:row>22</xdr:row>
      <xdr:rowOff>176211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0.04882</cdr:x>
      <cdr:y>0.04231</cdr:y>
    </cdr:from>
    <cdr:to>
      <cdr:x>0.86893</cdr:x>
      <cdr:y>0.23078</cdr:y>
    </cdr:to>
    <cdr:sp macro="" textlink="">
      <cdr:nvSpPr>
        <cdr:cNvPr id="2" name="文本框 11">
          <a:extLst xmlns:a="http://schemas.openxmlformats.org/drawingml/2006/main">
            <a:ext uri="{FF2B5EF4-FFF2-40B4-BE49-F238E27FC236}">
              <a16:creationId xmlns:a16="http://schemas.microsoft.com/office/drawing/2014/main" id="{9D8781FD-5C6D-25C2-3181-68CBE83A6660}"/>
            </a:ext>
          </a:extLst>
        </cdr:cNvPr>
        <cdr:cNvSpPr txBox="1"/>
      </cdr:nvSpPr>
      <cdr:spPr>
        <a:xfrm xmlns:a="http://schemas.openxmlformats.org/drawingml/2006/main">
          <a:off x="252966" y="164025"/>
          <a:ext cx="4249482" cy="73063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ts val="2400"/>
            </a:lnSpc>
          </a:pPr>
          <a:r>
            <a:rPr lang="en-US" altLang="zh-CN" sz="20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3</a:t>
          </a:r>
          <a:r>
            <a:rPr lang="zh-CN" altLang="en-US" sz="20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月各区域销量分布</a:t>
          </a:r>
          <a:endParaRPr lang="en-US" altLang="zh-CN" sz="2000" b="1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 xmlns:a="http://schemas.openxmlformats.org/drawingml/2006/main">
          <a:pPr>
            <a:lnSpc>
              <a:spcPts val="2400"/>
            </a:lnSpc>
          </a:pPr>
          <a:r>
            <a:rPr lang="zh-CN" altLang="en-US" sz="14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东北销量最多占比总销量的</a:t>
          </a:r>
          <a:r>
            <a:rPr lang="en-US" altLang="zh-CN" sz="14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22%</a:t>
          </a:r>
          <a:r>
            <a:rPr lang="zh-CN" altLang="en-US" sz="14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，华南销量最低</a:t>
          </a:r>
          <a:endParaRPr lang="zh-CN" altLang="en-US" sz="1200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  <cdr:relSizeAnchor xmlns:cdr="http://schemas.openxmlformats.org/drawingml/2006/chartDrawing">
    <cdr:from>
      <cdr:x>0.03844</cdr:x>
      <cdr:y>0.91398</cdr:y>
    </cdr:from>
    <cdr:to>
      <cdr:x>0.84361</cdr:x>
      <cdr:y>0.97886</cdr:y>
    </cdr:to>
    <cdr:sp macro="" textlink="">
      <cdr:nvSpPr>
        <cdr:cNvPr id="3" name="文本框 12">
          <a:extLst xmlns:a="http://schemas.openxmlformats.org/drawingml/2006/main">
            <a:ext uri="{FF2B5EF4-FFF2-40B4-BE49-F238E27FC236}">
              <a16:creationId xmlns:a16="http://schemas.microsoft.com/office/drawing/2014/main" id="{42443C87-CD3B-6D01-7694-57EBAF441B47}"/>
            </a:ext>
          </a:extLst>
        </cdr:cNvPr>
        <cdr:cNvSpPr txBox="1"/>
      </cdr:nvSpPr>
      <cdr:spPr>
        <a:xfrm xmlns:a="http://schemas.openxmlformats.org/drawingml/2006/main">
          <a:off x="199205" y="3543192"/>
          <a:ext cx="4172069" cy="25151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800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 *</a:t>
          </a:r>
          <a:r>
            <a:rPr lang="zh-CN" altLang="en-US" sz="800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注：数据来源于公司销售系统，统计日期截至</a:t>
          </a:r>
          <a:r>
            <a:rPr lang="en-US" altLang="zh-CN" sz="800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2022.03.31</a:t>
          </a:r>
          <a:endParaRPr lang="zh-CN" altLang="en-US" sz="800">
            <a:solidFill>
              <a:schemeClr val="bg1">
                <a:lumMod val="85000"/>
              </a:schemeClr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  <cdr:relSizeAnchor xmlns:cdr="http://schemas.openxmlformats.org/drawingml/2006/chartDrawing">
    <cdr:from>
      <cdr:x>0.79389</cdr:x>
      <cdr:y>0.36311</cdr:y>
    </cdr:from>
    <cdr:to>
      <cdr:x>0.97243</cdr:x>
      <cdr:y>0.42629</cdr:y>
    </cdr:to>
    <cdr:sp macro="" textlink="">
      <cdr:nvSpPr>
        <cdr:cNvPr id="4" name="文本框 1">
          <a:extLst xmlns:a="http://schemas.openxmlformats.org/drawingml/2006/main">
            <a:ext uri="{FF2B5EF4-FFF2-40B4-BE49-F238E27FC236}">
              <a16:creationId xmlns:a16="http://schemas.microsoft.com/office/drawing/2014/main" id="{EDAEC0C8-A7CF-0B44-A27C-697A2E468661}"/>
            </a:ext>
          </a:extLst>
        </cdr:cNvPr>
        <cdr:cNvSpPr txBox="1"/>
      </cdr:nvSpPr>
      <cdr:spPr>
        <a:xfrm xmlns:a="http://schemas.openxmlformats.org/drawingml/2006/main">
          <a:off x="4113640" y="1407664"/>
          <a:ext cx="925085" cy="24492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zh-CN" altLang="en-US" sz="800">
              <a:solidFill>
                <a:srgbClr val="FFC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平均值：</a:t>
          </a:r>
          <a:r>
            <a:rPr lang="en-US" altLang="zh-CN" sz="800">
              <a:solidFill>
                <a:srgbClr val="FFC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2656</a:t>
          </a:r>
          <a:endParaRPr lang="zh-CN" altLang="en-US" sz="800">
            <a:solidFill>
              <a:srgbClr val="FFC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176212</xdr:rowOff>
    </xdr:from>
    <xdr:to>
      <xdr:col>12</xdr:col>
      <xdr:colOff>0</xdr:colOff>
      <xdr:row>23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0.71444</cdr:x>
      <cdr:y>0.44195</cdr:y>
    </cdr:from>
    <cdr:to>
      <cdr:x>0.78768</cdr:x>
      <cdr:y>0.49263</cdr:y>
    </cdr:to>
    <cdr:sp macro="" textlink="">
      <cdr:nvSpPr>
        <cdr:cNvPr id="11" name="矩形: 圆角 10">
          <a:extLst xmlns:a="http://schemas.openxmlformats.org/drawingml/2006/main">
            <a:ext uri="{FF2B5EF4-FFF2-40B4-BE49-F238E27FC236}">
              <a16:creationId xmlns:a16="http://schemas.microsoft.com/office/drawing/2014/main" id="{3BCB7F2D-E55B-B633-453A-8E7CF19A2520}"/>
            </a:ext>
          </a:extLst>
        </cdr:cNvPr>
        <cdr:cNvSpPr/>
      </cdr:nvSpPr>
      <cdr:spPr>
        <a:xfrm xmlns:a="http://schemas.openxmlformats.org/drawingml/2006/main">
          <a:off x="3701963" y="1713309"/>
          <a:ext cx="379499" cy="196453"/>
        </a:xfrm>
        <a:prstGeom xmlns:a="http://schemas.openxmlformats.org/drawingml/2006/main" prst="roundRect">
          <a:avLst/>
        </a:prstGeom>
        <a:solidFill xmlns:a="http://schemas.openxmlformats.org/drawingml/2006/main">
          <a:srgbClr val="0070C0">
            <a:alpha val="20000"/>
          </a:srgb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zh-CN" altLang="en-US" sz="1100" b="1"/>
        </a:p>
      </cdr:txBody>
    </cdr:sp>
  </cdr:relSizeAnchor>
  <cdr:relSizeAnchor xmlns:cdr="http://schemas.openxmlformats.org/drawingml/2006/chartDrawing">
    <cdr:from>
      <cdr:x>0.18076</cdr:x>
      <cdr:y>0.45536</cdr:y>
    </cdr:from>
    <cdr:to>
      <cdr:x>0.254</cdr:x>
      <cdr:y>0.50604</cdr:y>
    </cdr:to>
    <cdr:sp macro="" textlink="">
      <cdr:nvSpPr>
        <cdr:cNvPr id="12" name="矩形: 圆角 11">
          <a:extLst xmlns:a="http://schemas.openxmlformats.org/drawingml/2006/main">
            <a:ext uri="{FF2B5EF4-FFF2-40B4-BE49-F238E27FC236}">
              <a16:creationId xmlns:a16="http://schemas.microsoft.com/office/drawing/2014/main" id="{F1ADBD8F-1CFC-AB6C-3BC5-9DD641256755}"/>
            </a:ext>
          </a:extLst>
        </cdr:cNvPr>
        <cdr:cNvSpPr/>
      </cdr:nvSpPr>
      <cdr:spPr>
        <a:xfrm xmlns:a="http://schemas.openxmlformats.org/drawingml/2006/main">
          <a:off x="936625" y="1765297"/>
          <a:ext cx="379499" cy="196453"/>
        </a:xfrm>
        <a:prstGeom xmlns:a="http://schemas.openxmlformats.org/drawingml/2006/main" prst="roundRect">
          <a:avLst/>
        </a:prstGeom>
        <a:solidFill xmlns:a="http://schemas.openxmlformats.org/drawingml/2006/main">
          <a:srgbClr val="0070C0">
            <a:alpha val="20000"/>
          </a:srgb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zh-CN" altLang="en-US" sz="1100" b="1"/>
        </a:p>
      </cdr:txBody>
    </cdr:sp>
  </cdr:relSizeAnchor>
  <cdr:relSizeAnchor xmlns:cdr="http://schemas.openxmlformats.org/drawingml/2006/chartDrawing">
    <cdr:from>
      <cdr:x>0.04289</cdr:x>
      <cdr:y>0.91196</cdr:y>
    </cdr:from>
    <cdr:to>
      <cdr:x>0.84436</cdr:x>
      <cdr:y>0.97707</cdr:y>
    </cdr:to>
    <cdr:sp macro="" textlink="">
      <cdr:nvSpPr>
        <cdr:cNvPr id="15" name="文本框 12">
          <a:extLst xmlns:a="http://schemas.openxmlformats.org/drawingml/2006/main">
            <a:ext uri="{FF2B5EF4-FFF2-40B4-BE49-F238E27FC236}">
              <a16:creationId xmlns:a16="http://schemas.microsoft.com/office/drawing/2014/main" id="{5B225753-3095-4B4C-D34C-078B2972B26A}"/>
            </a:ext>
          </a:extLst>
        </cdr:cNvPr>
        <cdr:cNvSpPr txBox="1"/>
      </cdr:nvSpPr>
      <cdr:spPr>
        <a:xfrm xmlns:a="http://schemas.openxmlformats.org/drawingml/2006/main">
          <a:off x="222261" y="3535377"/>
          <a:ext cx="4152897" cy="25241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800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*</a:t>
          </a:r>
          <a:r>
            <a:rPr lang="zh-CN" altLang="en-US" sz="800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注：数据来源于公司销售系统，统计日期截至</a:t>
          </a:r>
          <a:r>
            <a:rPr lang="en-US" altLang="zh-CN" sz="800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2022.03.31</a:t>
          </a:r>
          <a:endParaRPr lang="zh-CN" altLang="en-US" sz="800">
            <a:solidFill>
              <a:schemeClr val="bg1">
                <a:lumMod val="85000"/>
              </a:schemeClr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  <cdr:relSizeAnchor xmlns:cdr="http://schemas.openxmlformats.org/drawingml/2006/chartDrawing">
    <cdr:from>
      <cdr:x>0.05116</cdr:x>
      <cdr:y>0.03399</cdr:y>
    </cdr:from>
    <cdr:to>
      <cdr:x>0.96507</cdr:x>
      <cdr:y>0.22315</cdr:y>
    </cdr:to>
    <cdr:sp macro="" textlink="">
      <cdr:nvSpPr>
        <cdr:cNvPr id="16" name="文本框 11">
          <a:extLst xmlns:a="http://schemas.openxmlformats.org/drawingml/2006/main">
            <a:ext uri="{FF2B5EF4-FFF2-40B4-BE49-F238E27FC236}">
              <a16:creationId xmlns:a16="http://schemas.microsoft.com/office/drawing/2014/main" id="{0D12ACE4-583E-F9FC-35A8-FAA0F87205C0}"/>
            </a:ext>
          </a:extLst>
        </cdr:cNvPr>
        <cdr:cNvSpPr txBox="1"/>
      </cdr:nvSpPr>
      <cdr:spPr>
        <a:xfrm xmlns:a="http://schemas.openxmlformats.org/drawingml/2006/main">
          <a:off x="265112" y="131763"/>
          <a:ext cx="4735512" cy="73333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ts val="2400"/>
            </a:lnSpc>
          </a:pPr>
          <a:r>
            <a:rPr lang="en-US" altLang="zh-CN" sz="20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3</a:t>
          </a:r>
          <a:r>
            <a:rPr lang="zh-CN" altLang="en-US" sz="20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月商品销量对比</a:t>
          </a:r>
          <a:endParaRPr lang="en-US" altLang="zh-CN" sz="2000" b="1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 xmlns:a="http://schemas.openxmlformats.org/drawingml/2006/main">
          <a:pPr>
            <a:lnSpc>
              <a:spcPts val="2400"/>
            </a:lnSpc>
          </a:pPr>
          <a:r>
            <a:rPr lang="zh-CN" altLang="en-US" sz="14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防晒销量最多，</a:t>
          </a:r>
          <a:r>
            <a:rPr lang="en-US" altLang="zh-CN" sz="14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3</a:t>
          </a:r>
          <a:r>
            <a:rPr lang="zh-CN" altLang="en-US" sz="14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月销量</a:t>
          </a:r>
          <a:r>
            <a:rPr lang="en-US" altLang="zh-CN" sz="14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856</a:t>
          </a:r>
          <a:r>
            <a:rPr lang="zh-CN" altLang="en-US" sz="14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；面膜最少，</a:t>
          </a:r>
          <a:r>
            <a:rPr lang="en-US" altLang="zh-CN" sz="14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3</a:t>
          </a:r>
          <a:r>
            <a:rPr lang="zh-CN" altLang="en-US" sz="14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月销量</a:t>
          </a:r>
          <a:r>
            <a:rPr lang="en-US" altLang="zh-CN" sz="14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523</a:t>
          </a:r>
          <a:endParaRPr lang="zh-CN" altLang="en-US" sz="1200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  <cdr:relSizeAnchor xmlns:cdr="http://schemas.openxmlformats.org/drawingml/2006/chartDrawing">
    <cdr:from>
      <cdr:x>0.19945</cdr:x>
      <cdr:y>0.4828</cdr:y>
    </cdr:from>
    <cdr:to>
      <cdr:x>0.20037</cdr:x>
      <cdr:y>0.53808</cdr:y>
    </cdr:to>
    <cdr:cxnSp macro="">
      <cdr:nvCxnSpPr>
        <cdr:cNvPr id="24" name="直接连接符 23">
          <a:extLst xmlns:a="http://schemas.openxmlformats.org/drawingml/2006/main">
            <a:ext uri="{FF2B5EF4-FFF2-40B4-BE49-F238E27FC236}">
              <a16:creationId xmlns:a16="http://schemas.microsoft.com/office/drawing/2014/main" id="{064DBE46-52A1-6331-D201-6BC37DC998C3}"/>
            </a:ext>
          </a:extLst>
        </cdr:cNvPr>
        <cdr:cNvCxnSpPr/>
      </cdr:nvCxnSpPr>
      <cdr:spPr>
        <a:xfrm xmlns:a="http://schemas.openxmlformats.org/drawingml/2006/main">
          <a:off x="1033462" y="1871662"/>
          <a:ext cx="4762" cy="214313"/>
        </a:xfrm>
        <a:prstGeom xmlns:a="http://schemas.openxmlformats.org/drawingml/2006/main" prst="line">
          <a:avLst/>
        </a:prstGeom>
        <a:ln xmlns:a="http://schemas.openxmlformats.org/drawingml/2006/main">
          <a:headEnd type="oval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0.31587</cdr:x>
      <cdr:y>0.52416</cdr:y>
    </cdr:from>
    <cdr:to>
      <cdr:x>0.38911</cdr:x>
      <cdr:y>0.57484</cdr:y>
    </cdr:to>
    <cdr:sp macro="" textlink="">
      <cdr:nvSpPr>
        <cdr:cNvPr id="27" name="矩形: 圆角 26">
          <a:extLst xmlns:a="http://schemas.openxmlformats.org/drawingml/2006/main">
            <a:ext uri="{FF2B5EF4-FFF2-40B4-BE49-F238E27FC236}">
              <a16:creationId xmlns:a16="http://schemas.microsoft.com/office/drawing/2014/main" id="{71F96135-7B09-666A-2731-4071A449E992}"/>
            </a:ext>
          </a:extLst>
        </cdr:cNvPr>
        <cdr:cNvSpPr/>
      </cdr:nvSpPr>
      <cdr:spPr>
        <a:xfrm xmlns:a="http://schemas.openxmlformats.org/drawingml/2006/main">
          <a:off x="1636712" y="2031988"/>
          <a:ext cx="379500" cy="196470"/>
        </a:xfrm>
        <a:prstGeom xmlns:a="http://schemas.openxmlformats.org/drawingml/2006/main" prst="roundRect">
          <a:avLst/>
        </a:prstGeom>
        <a:solidFill xmlns:a="http://schemas.openxmlformats.org/drawingml/2006/main">
          <a:srgbClr val="0070C0">
            <a:alpha val="20000"/>
          </a:srgb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zh-CN" altLang="en-US" sz="1100" b="1"/>
        </a:p>
      </cdr:txBody>
    </cdr:sp>
  </cdr:relSizeAnchor>
  <cdr:relSizeAnchor xmlns:cdr="http://schemas.openxmlformats.org/drawingml/2006/chartDrawing">
    <cdr:from>
      <cdr:x>0.33058</cdr:x>
      <cdr:y>0.55733</cdr:y>
    </cdr:from>
    <cdr:to>
      <cdr:x>0.3315</cdr:x>
      <cdr:y>0.61261</cdr:y>
    </cdr:to>
    <cdr:cxnSp macro="">
      <cdr:nvCxnSpPr>
        <cdr:cNvPr id="28" name="直接连接符 27">
          <a:extLst xmlns:a="http://schemas.openxmlformats.org/drawingml/2006/main">
            <a:ext uri="{FF2B5EF4-FFF2-40B4-BE49-F238E27FC236}">
              <a16:creationId xmlns:a16="http://schemas.microsoft.com/office/drawing/2014/main" id="{6907EC76-63F3-2B47-EC57-94B7E514A49C}"/>
            </a:ext>
          </a:extLst>
        </cdr:cNvPr>
        <cdr:cNvCxnSpPr/>
      </cdr:nvCxnSpPr>
      <cdr:spPr>
        <a:xfrm xmlns:a="http://schemas.openxmlformats.org/drawingml/2006/main">
          <a:off x="1712913" y="2160589"/>
          <a:ext cx="4762" cy="214313"/>
        </a:xfrm>
        <a:prstGeom xmlns:a="http://schemas.openxmlformats.org/drawingml/2006/main" prst="line">
          <a:avLst/>
        </a:prstGeom>
        <a:ln xmlns:a="http://schemas.openxmlformats.org/drawingml/2006/main">
          <a:headEnd type="oval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0.46293</cdr:x>
      <cdr:y>0.49713</cdr:y>
    </cdr:from>
    <cdr:to>
      <cdr:x>0.46293</cdr:x>
      <cdr:y>0.54177</cdr:y>
    </cdr:to>
    <cdr:cxnSp macro="">
      <cdr:nvCxnSpPr>
        <cdr:cNvPr id="29" name="直接连接符 28">
          <a:extLst xmlns:a="http://schemas.openxmlformats.org/drawingml/2006/main">
            <a:ext uri="{FF2B5EF4-FFF2-40B4-BE49-F238E27FC236}">
              <a16:creationId xmlns:a16="http://schemas.microsoft.com/office/drawing/2014/main" id="{6907EC76-63F3-2B47-EC57-94B7E514A49C}"/>
            </a:ext>
          </a:extLst>
        </cdr:cNvPr>
        <cdr:cNvCxnSpPr/>
      </cdr:nvCxnSpPr>
      <cdr:spPr>
        <a:xfrm xmlns:a="http://schemas.openxmlformats.org/drawingml/2006/main">
          <a:off x="2398713" y="1927225"/>
          <a:ext cx="0" cy="173037"/>
        </a:xfrm>
        <a:prstGeom xmlns:a="http://schemas.openxmlformats.org/drawingml/2006/main" prst="line">
          <a:avLst/>
        </a:prstGeom>
        <a:ln xmlns:a="http://schemas.openxmlformats.org/drawingml/2006/main">
          <a:headEnd type="oval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0.59589</cdr:x>
      <cdr:y>0.40704</cdr:y>
    </cdr:from>
    <cdr:to>
      <cdr:x>0.59589</cdr:x>
      <cdr:y>0.45168</cdr:y>
    </cdr:to>
    <cdr:cxnSp macro="">
      <cdr:nvCxnSpPr>
        <cdr:cNvPr id="31" name="直接连接符 30">
          <a:extLst xmlns:a="http://schemas.openxmlformats.org/drawingml/2006/main">
            <a:ext uri="{FF2B5EF4-FFF2-40B4-BE49-F238E27FC236}">
              <a16:creationId xmlns:a16="http://schemas.microsoft.com/office/drawing/2014/main" id="{1E9495C9-9D30-8BB7-A395-A1D4AF49FD79}"/>
            </a:ext>
          </a:extLst>
        </cdr:cNvPr>
        <cdr:cNvCxnSpPr/>
      </cdr:nvCxnSpPr>
      <cdr:spPr>
        <a:xfrm xmlns:a="http://schemas.openxmlformats.org/drawingml/2006/main">
          <a:off x="3087688" y="1577975"/>
          <a:ext cx="0" cy="173037"/>
        </a:xfrm>
        <a:prstGeom xmlns:a="http://schemas.openxmlformats.org/drawingml/2006/main" prst="line">
          <a:avLst/>
        </a:prstGeom>
        <a:ln xmlns:a="http://schemas.openxmlformats.org/drawingml/2006/main">
          <a:headEnd type="oval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0.73009</cdr:x>
      <cdr:y>0.46847</cdr:y>
    </cdr:from>
    <cdr:to>
      <cdr:x>0.73009</cdr:x>
      <cdr:y>0.5131</cdr:y>
    </cdr:to>
    <cdr:cxnSp macro="">
      <cdr:nvCxnSpPr>
        <cdr:cNvPr id="32" name="直接连接符 31">
          <a:extLst xmlns:a="http://schemas.openxmlformats.org/drawingml/2006/main">
            <a:ext uri="{FF2B5EF4-FFF2-40B4-BE49-F238E27FC236}">
              <a16:creationId xmlns:a16="http://schemas.microsoft.com/office/drawing/2014/main" id="{1E9495C9-9D30-8BB7-A395-A1D4AF49FD79}"/>
            </a:ext>
          </a:extLst>
        </cdr:cNvPr>
        <cdr:cNvCxnSpPr/>
      </cdr:nvCxnSpPr>
      <cdr:spPr>
        <a:xfrm xmlns:a="http://schemas.openxmlformats.org/drawingml/2006/main">
          <a:off x="3783013" y="1816100"/>
          <a:ext cx="0" cy="173037"/>
        </a:xfrm>
        <a:prstGeom xmlns:a="http://schemas.openxmlformats.org/drawingml/2006/main" prst="line">
          <a:avLst/>
        </a:prstGeom>
        <a:ln xmlns:a="http://schemas.openxmlformats.org/drawingml/2006/main">
          <a:headEnd type="oval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0.85968</cdr:x>
      <cdr:y>0.43898</cdr:y>
    </cdr:from>
    <cdr:to>
      <cdr:x>0.85968</cdr:x>
      <cdr:y>0.48362</cdr:y>
    </cdr:to>
    <cdr:cxnSp macro="">
      <cdr:nvCxnSpPr>
        <cdr:cNvPr id="33" name="直接连接符 32">
          <a:extLst xmlns:a="http://schemas.openxmlformats.org/drawingml/2006/main">
            <a:ext uri="{FF2B5EF4-FFF2-40B4-BE49-F238E27FC236}">
              <a16:creationId xmlns:a16="http://schemas.microsoft.com/office/drawing/2014/main" id="{1E9495C9-9D30-8BB7-A395-A1D4AF49FD79}"/>
            </a:ext>
          </a:extLst>
        </cdr:cNvPr>
        <cdr:cNvCxnSpPr/>
      </cdr:nvCxnSpPr>
      <cdr:spPr>
        <a:xfrm xmlns:a="http://schemas.openxmlformats.org/drawingml/2006/main">
          <a:off x="4454526" y="1701800"/>
          <a:ext cx="0" cy="173037"/>
        </a:xfrm>
        <a:prstGeom xmlns:a="http://schemas.openxmlformats.org/drawingml/2006/main" prst="line">
          <a:avLst/>
        </a:prstGeom>
        <a:ln xmlns:a="http://schemas.openxmlformats.org/drawingml/2006/main">
          <a:headEnd type="oval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0.44638</cdr:x>
      <cdr:y>0.46765</cdr:y>
    </cdr:from>
    <cdr:to>
      <cdr:x>0.51962</cdr:x>
      <cdr:y>0.51833</cdr:y>
    </cdr:to>
    <cdr:sp macro="" textlink="">
      <cdr:nvSpPr>
        <cdr:cNvPr id="34" name="矩形: 圆角 33">
          <a:extLst xmlns:a="http://schemas.openxmlformats.org/drawingml/2006/main">
            <a:ext uri="{FF2B5EF4-FFF2-40B4-BE49-F238E27FC236}">
              <a16:creationId xmlns:a16="http://schemas.microsoft.com/office/drawing/2014/main" id="{F0B8A299-2A90-2016-EA9E-280422B6583B}"/>
            </a:ext>
          </a:extLst>
        </cdr:cNvPr>
        <cdr:cNvSpPr/>
      </cdr:nvSpPr>
      <cdr:spPr>
        <a:xfrm xmlns:a="http://schemas.openxmlformats.org/drawingml/2006/main">
          <a:off x="2312988" y="1812925"/>
          <a:ext cx="379499" cy="196453"/>
        </a:xfrm>
        <a:prstGeom xmlns:a="http://schemas.openxmlformats.org/drawingml/2006/main" prst="roundRect">
          <a:avLst/>
        </a:prstGeom>
        <a:solidFill xmlns:a="http://schemas.openxmlformats.org/drawingml/2006/main">
          <a:srgbClr val="0070C0">
            <a:alpha val="20000"/>
          </a:srgb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zh-CN" altLang="en-US" sz="1100" b="1"/>
        </a:p>
      </cdr:txBody>
    </cdr:sp>
  </cdr:relSizeAnchor>
  <cdr:relSizeAnchor xmlns:cdr="http://schemas.openxmlformats.org/drawingml/2006/chartDrawing">
    <cdr:from>
      <cdr:x>0.5815</cdr:x>
      <cdr:y>0.3792</cdr:y>
    </cdr:from>
    <cdr:to>
      <cdr:x>0.65473</cdr:x>
      <cdr:y>0.42987</cdr:y>
    </cdr:to>
    <cdr:sp macro="" textlink="">
      <cdr:nvSpPr>
        <cdr:cNvPr id="35" name="矩形: 圆角 34">
          <a:extLst xmlns:a="http://schemas.openxmlformats.org/drawingml/2006/main">
            <a:ext uri="{FF2B5EF4-FFF2-40B4-BE49-F238E27FC236}">
              <a16:creationId xmlns:a16="http://schemas.microsoft.com/office/drawing/2014/main" id="{F0B8A299-2A90-2016-EA9E-280422B6583B}"/>
            </a:ext>
          </a:extLst>
        </cdr:cNvPr>
        <cdr:cNvSpPr/>
      </cdr:nvSpPr>
      <cdr:spPr>
        <a:xfrm xmlns:a="http://schemas.openxmlformats.org/drawingml/2006/main">
          <a:off x="3013075" y="1470025"/>
          <a:ext cx="379499" cy="196453"/>
        </a:xfrm>
        <a:prstGeom xmlns:a="http://schemas.openxmlformats.org/drawingml/2006/main" prst="roundRect">
          <a:avLst/>
        </a:prstGeom>
        <a:solidFill xmlns:a="http://schemas.openxmlformats.org/drawingml/2006/main">
          <a:srgbClr val="0070C0">
            <a:alpha val="20000"/>
          </a:srgb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zh-CN" altLang="en-US" sz="1100" b="1"/>
        </a:p>
      </cdr:txBody>
    </cdr:sp>
  </cdr:relSizeAnchor>
  <cdr:relSizeAnchor xmlns:cdr="http://schemas.openxmlformats.org/drawingml/2006/chartDrawing">
    <cdr:from>
      <cdr:x>0.84161</cdr:x>
      <cdr:y>0.41237</cdr:y>
    </cdr:from>
    <cdr:to>
      <cdr:x>0.91485</cdr:x>
      <cdr:y>0.46304</cdr:y>
    </cdr:to>
    <cdr:sp macro="" textlink="">
      <cdr:nvSpPr>
        <cdr:cNvPr id="36" name="矩形: 圆角 35">
          <a:extLst xmlns:a="http://schemas.openxmlformats.org/drawingml/2006/main">
            <a:ext uri="{FF2B5EF4-FFF2-40B4-BE49-F238E27FC236}">
              <a16:creationId xmlns:a16="http://schemas.microsoft.com/office/drawing/2014/main" id="{F0B8A299-2A90-2016-EA9E-280422B6583B}"/>
            </a:ext>
          </a:extLst>
        </cdr:cNvPr>
        <cdr:cNvSpPr/>
      </cdr:nvSpPr>
      <cdr:spPr>
        <a:xfrm xmlns:a="http://schemas.openxmlformats.org/drawingml/2006/main">
          <a:off x="4360863" y="1598613"/>
          <a:ext cx="379499" cy="196453"/>
        </a:xfrm>
        <a:prstGeom xmlns:a="http://schemas.openxmlformats.org/drawingml/2006/main" prst="roundRect">
          <a:avLst/>
        </a:prstGeom>
        <a:solidFill xmlns:a="http://schemas.openxmlformats.org/drawingml/2006/main">
          <a:srgbClr val="0070C0">
            <a:alpha val="20000"/>
          </a:srgb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zh-CN" altLang="en-US" sz="1100" b="1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12</xdr:col>
      <xdr:colOff>0</xdr:colOff>
      <xdr:row>23</xdr:row>
      <xdr:rowOff>1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0.04779</cdr:x>
      <cdr:y>0.04899</cdr:y>
    </cdr:from>
    <cdr:to>
      <cdr:x>0.92831</cdr:x>
      <cdr:y>0.25734</cdr:y>
    </cdr:to>
    <cdr:sp macro="" textlink="">
      <cdr:nvSpPr>
        <cdr:cNvPr id="2" name="文本框 11">
          <a:extLst xmlns:a="http://schemas.openxmlformats.org/drawingml/2006/main">
            <a:ext uri="{FF2B5EF4-FFF2-40B4-BE49-F238E27FC236}">
              <a16:creationId xmlns:a16="http://schemas.microsoft.com/office/drawing/2014/main" id="{34729E54-03CE-5E10-965E-BF3EC2CC9E6E}"/>
            </a:ext>
          </a:extLst>
        </cdr:cNvPr>
        <cdr:cNvSpPr txBox="1"/>
      </cdr:nvSpPr>
      <cdr:spPr>
        <a:xfrm xmlns:a="http://schemas.openxmlformats.org/drawingml/2006/main">
          <a:off x="247650" y="198571"/>
          <a:ext cx="4562476" cy="84441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ts val="2400"/>
            </a:lnSpc>
          </a:pPr>
          <a:r>
            <a:rPr lang="en-US" altLang="zh-CN" sz="18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2021</a:t>
          </a:r>
          <a:r>
            <a:rPr lang="zh-CN" altLang="en-US" sz="18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年商品销量情况</a:t>
          </a:r>
          <a:endParaRPr lang="en-US" altLang="zh-CN" sz="1800" b="1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 xmlns:a="http://schemas.openxmlformats.org/drawingml/2006/main">
          <a:pPr>
            <a:lnSpc>
              <a:spcPts val="2400"/>
            </a:lnSpc>
          </a:pPr>
          <a:r>
            <a:rPr lang="zh-CN" altLang="en-US" sz="12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口红销量最好达</a:t>
          </a:r>
          <a:r>
            <a:rPr lang="en-US" altLang="zh-CN" sz="12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9221</a:t>
          </a:r>
          <a:r>
            <a:rPr lang="zh-CN" altLang="en-US" sz="12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，是眼影最低值</a:t>
          </a:r>
          <a:r>
            <a:rPr lang="en-US" altLang="zh-CN" sz="12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2645</a:t>
          </a:r>
          <a:r>
            <a:rPr lang="zh-CN" altLang="en-US" sz="12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近</a:t>
          </a:r>
          <a:r>
            <a:rPr lang="en-US" altLang="zh-CN" sz="12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3.5</a:t>
          </a:r>
          <a:r>
            <a:rPr lang="zh-CN" altLang="en-US" sz="12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倍</a:t>
          </a:r>
          <a:endParaRPr lang="zh-CN" altLang="en-US" sz="1100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  <cdr:relSizeAnchor xmlns:cdr="http://schemas.openxmlformats.org/drawingml/2006/chartDrawing">
    <cdr:from>
      <cdr:x>0.03984</cdr:x>
      <cdr:y>0.92048</cdr:y>
    </cdr:from>
    <cdr:to>
      <cdr:x>0.84131</cdr:x>
      <cdr:y>0.98276</cdr:y>
    </cdr:to>
    <cdr:sp macro="" textlink="">
      <cdr:nvSpPr>
        <cdr:cNvPr id="3" name="文本框 12">
          <a:extLst xmlns:a="http://schemas.openxmlformats.org/drawingml/2006/main">
            <a:ext uri="{FF2B5EF4-FFF2-40B4-BE49-F238E27FC236}">
              <a16:creationId xmlns:a16="http://schemas.microsoft.com/office/drawing/2014/main" id="{AEF25AD8-3415-9B07-02FC-92A592213492}"/>
            </a:ext>
          </a:extLst>
        </cdr:cNvPr>
        <cdr:cNvSpPr txBox="1"/>
      </cdr:nvSpPr>
      <cdr:spPr>
        <a:xfrm xmlns:a="http://schemas.openxmlformats.org/drawingml/2006/main">
          <a:off x="206412" y="3730609"/>
          <a:ext cx="4152897" cy="2524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800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*</a:t>
          </a:r>
          <a:r>
            <a:rPr lang="zh-CN" altLang="en-US" sz="800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注：数据来源于公司销售系统，统计日期截至</a:t>
          </a:r>
          <a:r>
            <a:rPr lang="en-US" altLang="zh-CN" sz="800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2022.08.31</a:t>
          </a:r>
          <a:endParaRPr lang="zh-CN" altLang="en-US" sz="800">
            <a:solidFill>
              <a:schemeClr val="bg1">
                <a:lumMod val="85000"/>
              </a:schemeClr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452438</xdr:colOff>
      <xdr:row>5</xdr:row>
      <xdr:rowOff>76200</xdr:rowOff>
    </xdr:from>
    <xdr:to>
      <xdr:col>12</xdr:col>
      <xdr:colOff>252413</xdr:colOff>
      <xdr:row>7</xdr:row>
      <xdr:rowOff>138112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54C301F4-F83E-49B5-8510-100B965B13FC}"/>
            </a:ext>
          </a:extLst>
        </xdr:cNvPr>
        <xdr:cNvSpPr txBox="1"/>
      </xdr:nvSpPr>
      <xdr:spPr>
        <a:xfrm>
          <a:off x="5634038" y="1133475"/>
          <a:ext cx="2390775" cy="4143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zh-CN" altLang="en-US" sz="1100"/>
        </a:p>
      </xdr:txBody>
    </xdr:sp>
    <xdr:clientData/>
  </xdr:twoCellAnchor>
  <xdr:twoCellAnchor>
    <xdr:from>
      <xdr:col>5</xdr:col>
      <xdr:colOff>1</xdr:colOff>
      <xdr:row>1</xdr:row>
      <xdr:rowOff>0</xdr:rowOff>
    </xdr:from>
    <xdr:to>
      <xdr:col>13</xdr:col>
      <xdr:colOff>0</xdr:colOff>
      <xdr:row>22</xdr:row>
      <xdr:rowOff>2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E8ACD63-4A4E-477D-AD42-507B040234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0.03921</cdr:x>
      <cdr:y>0.04719</cdr:y>
    </cdr:from>
    <cdr:to>
      <cdr:x>0.9761</cdr:x>
      <cdr:y>0.24583</cdr:y>
    </cdr:to>
    <cdr:sp macro="" textlink="">
      <cdr:nvSpPr>
        <cdr:cNvPr id="2" name="文本框 11">
          <a:extLst xmlns:a="http://schemas.openxmlformats.org/drawingml/2006/main">
            <a:ext uri="{FF2B5EF4-FFF2-40B4-BE49-F238E27FC236}">
              <a16:creationId xmlns:a16="http://schemas.microsoft.com/office/drawing/2014/main" id="{9A7F1AA0-48AA-E165-166A-073E125BC4F7}"/>
            </a:ext>
          </a:extLst>
        </cdr:cNvPr>
        <cdr:cNvSpPr txBox="1"/>
      </cdr:nvSpPr>
      <cdr:spPr>
        <a:xfrm xmlns:a="http://schemas.openxmlformats.org/drawingml/2006/main">
          <a:off x="203189" y="174617"/>
          <a:ext cx="4854585" cy="73506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20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2021</a:t>
          </a:r>
          <a:r>
            <a:rPr lang="zh-CN" altLang="en-US" sz="20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年至今季度销售额</a:t>
          </a:r>
          <a:r>
            <a:rPr lang="en-US" altLang="zh-CN" sz="20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(</a:t>
          </a:r>
          <a:r>
            <a:rPr lang="zh-CN" altLang="zh-CN" sz="20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万</a:t>
          </a:r>
          <a:r>
            <a:rPr lang="en-US" altLang="zh-CN" sz="20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)</a:t>
          </a:r>
          <a:r>
            <a:rPr lang="zh-CN" altLang="en-US" sz="20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和利润额</a:t>
          </a:r>
          <a:r>
            <a:rPr lang="en-US" altLang="zh-CN" sz="20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(</a:t>
          </a:r>
          <a:r>
            <a:rPr lang="zh-CN" altLang="en-US" sz="20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万</a:t>
          </a:r>
          <a:r>
            <a:rPr lang="en-US" altLang="zh-CN" sz="20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)</a:t>
          </a:r>
        </a:p>
        <a:p xmlns:a="http://schemas.openxmlformats.org/drawingml/2006/main">
          <a:r>
            <a:rPr lang="en-US" altLang="zh-CN" sz="12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2022</a:t>
          </a:r>
          <a:r>
            <a:rPr lang="zh-CN" altLang="en-US" sz="12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年第二季度销售额首次出现下降，降幅达到</a:t>
          </a:r>
          <a:r>
            <a:rPr lang="en-US" altLang="zh-CN" sz="12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15%</a:t>
          </a:r>
          <a:endParaRPr lang="zh-CN" altLang="en-US" sz="1200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  <cdr:relSizeAnchor xmlns:cdr="http://schemas.openxmlformats.org/drawingml/2006/chartDrawing">
    <cdr:from>
      <cdr:x>0.02911</cdr:x>
      <cdr:y>0.91077</cdr:y>
    </cdr:from>
    <cdr:to>
      <cdr:x>0.83058</cdr:x>
      <cdr:y>0.97898</cdr:y>
    </cdr:to>
    <cdr:sp macro="" textlink="">
      <cdr:nvSpPr>
        <cdr:cNvPr id="3" name="文本框 12">
          <a:extLst xmlns:a="http://schemas.openxmlformats.org/drawingml/2006/main">
            <a:ext uri="{FF2B5EF4-FFF2-40B4-BE49-F238E27FC236}">
              <a16:creationId xmlns:a16="http://schemas.microsoft.com/office/drawing/2014/main" id="{4507A961-CE24-A830-E853-D0E8B813523E}"/>
            </a:ext>
          </a:extLst>
        </cdr:cNvPr>
        <cdr:cNvSpPr txBox="1"/>
      </cdr:nvSpPr>
      <cdr:spPr>
        <a:xfrm xmlns:a="http://schemas.openxmlformats.org/drawingml/2006/main">
          <a:off x="150813" y="3370262"/>
          <a:ext cx="4152911" cy="25241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800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*</a:t>
          </a:r>
          <a:r>
            <a:rPr lang="zh-CN" altLang="en-US" sz="800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注：数据来源于公司销售系统，统计日期截至</a:t>
          </a:r>
          <a:r>
            <a:rPr lang="en-US" altLang="zh-CN" sz="800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2022.06.30</a:t>
          </a:r>
          <a:endParaRPr lang="zh-CN" altLang="en-US" sz="800">
            <a:solidFill>
              <a:schemeClr val="bg1">
                <a:lumMod val="85000"/>
              </a:schemeClr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  <cdr:relSizeAnchor xmlns:cdr="http://schemas.openxmlformats.org/drawingml/2006/chartDrawing">
    <cdr:from>
      <cdr:x>0.79841</cdr:x>
      <cdr:y>0.51566</cdr:y>
    </cdr:from>
    <cdr:to>
      <cdr:x>0.89675</cdr:x>
      <cdr:y>0.55813</cdr:y>
    </cdr:to>
    <cdr:sp macro="" textlink="">
      <cdr:nvSpPr>
        <cdr:cNvPr id="4" name="文本框 6">
          <a:extLst xmlns:a="http://schemas.openxmlformats.org/drawingml/2006/main">
            <a:ext uri="{FF2B5EF4-FFF2-40B4-BE49-F238E27FC236}">
              <a16:creationId xmlns:a16="http://schemas.microsoft.com/office/drawing/2014/main" id="{7A432CD8-23B4-C0E4-41A6-A9B003B61240}"/>
            </a:ext>
          </a:extLst>
        </cdr:cNvPr>
        <cdr:cNvSpPr txBox="1"/>
      </cdr:nvSpPr>
      <cdr:spPr>
        <a:xfrm xmlns:a="http://schemas.openxmlformats.org/drawingml/2006/main">
          <a:off x="4137025" y="1908175"/>
          <a:ext cx="509588" cy="157163"/>
        </a:xfrm>
        <a:prstGeom xmlns:a="http://schemas.openxmlformats.org/drawingml/2006/main" prst="rect">
          <a:avLst/>
        </a:prstGeom>
        <a:solidFill xmlns:a="http://schemas.openxmlformats.org/drawingml/2006/main">
          <a:srgbClr val="1A1E43"/>
        </a:solidFill>
        <a:ln xmlns:a="http://schemas.openxmlformats.org/drawingml/2006/main" w="9525" cmpd="sng">
          <a:solidFill>
            <a:srgbClr val="0070C0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zh-CN" altLang="en-US" sz="800">
              <a:solidFill>
                <a:schemeClr val="bg1">
                  <a:lumMod val="95000"/>
                </a:schemeClr>
              </a:solidFill>
            </a:rPr>
            <a:t>销售额</a:t>
          </a:r>
        </a:p>
      </cdr:txBody>
    </cdr:sp>
  </cdr:relSizeAnchor>
  <cdr:relSizeAnchor xmlns:cdr="http://schemas.openxmlformats.org/drawingml/2006/chartDrawing">
    <cdr:from>
      <cdr:x>0.79749</cdr:x>
      <cdr:y>0.5903</cdr:y>
    </cdr:from>
    <cdr:to>
      <cdr:x>0.89583</cdr:x>
      <cdr:y>0.63278</cdr:y>
    </cdr:to>
    <cdr:sp macro="" textlink="">
      <cdr:nvSpPr>
        <cdr:cNvPr id="5" name="文本框 7">
          <a:extLst xmlns:a="http://schemas.openxmlformats.org/drawingml/2006/main">
            <a:ext uri="{FF2B5EF4-FFF2-40B4-BE49-F238E27FC236}">
              <a16:creationId xmlns:a16="http://schemas.microsoft.com/office/drawing/2014/main" id="{D1888E3E-76CC-44A8-AC29-49B891B85249}"/>
            </a:ext>
          </a:extLst>
        </cdr:cNvPr>
        <cdr:cNvSpPr txBox="1"/>
      </cdr:nvSpPr>
      <cdr:spPr>
        <a:xfrm xmlns:a="http://schemas.openxmlformats.org/drawingml/2006/main">
          <a:off x="4132263" y="2184400"/>
          <a:ext cx="509588" cy="157163"/>
        </a:xfrm>
        <a:prstGeom xmlns:a="http://schemas.openxmlformats.org/drawingml/2006/main" prst="rect">
          <a:avLst/>
        </a:prstGeom>
        <a:solidFill xmlns:a="http://schemas.openxmlformats.org/drawingml/2006/main">
          <a:srgbClr val="1A1E43"/>
        </a:solidFill>
        <a:ln xmlns:a="http://schemas.openxmlformats.org/drawingml/2006/main" w="9525" cmpd="sng">
          <a:solidFill>
            <a:srgbClr val="E74E69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zh-CN" altLang="en-US" sz="800">
              <a:solidFill>
                <a:schemeClr val="bg1">
                  <a:lumMod val="95000"/>
                </a:schemeClr>
              </a:solidFill>
            </a:rPr>
            <a:t>利润额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9</xdr:col>
      <xdr:colOff>0</xdr:colOff>
      <xdr:row>29</xdr:row>
      <xdr:rowOff>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C45D48D-CFA4-40C7-9D4C-375E4AEC94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0.04749</cdr:x>
      <cdr:y>0.03947</cdr:y>
    </cdr:from>
    <cdr:to>
      <cdr:x>0.94456</cdr:x>
      <cdr:y>0.25902</cdr:y>
    </cdr:to>
    <cdr:sp macro="" textlink="">
      <cdr:nvSpPr>
        <cdr:cNvPr id="2" name="文本框 11">
          <a:extLst xmlns:a="http://schemas.openxmlformats.org/drawingml/2006/main">
            <a:ext uri="{FF2B5EF4-FFF2-40B4-BE49-F238E27FC236}">
              <a16:creationId xmlns:a16="http://schemas.microsoft.com/office/drawing/2014/main" id="{FDE1C076-3E6B-B418-89A6-880AE0167B8F}"/>
            </a:ext>
          </a:extLst>
        </cdr:cNvPr>
        <cdr:cNvSpPr txBox="1"/>
      </cdr:nvSpPr>
      <cdr:spPr>
        <a:xfrm xmlns:a="http://schemas.openxmlformats.org/drawingml/2006/main">
          <a:off x="246060" y="146069"/>
          <a:ext cx="4648258" cy="8124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18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2022</a:t>
          </a:r>
          <a:r>
            <a:rPr lang="zh-CN" altLang="en-US" sz="18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年上半年各区域对比去年销量</a:t>
          </a:r>
          <a:endParaRPr lang="en-US" altLang="zh-CN" sz="1800" b="1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 xmlns:a="http://schemas.openxmlformats.org/drawingml/2006/main">
          <a:r>
            <a:rPr lang="en-US" altLang="zh-CN" sz="11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2022</a:t>
          </a:r>
          <a:r>
            <a:rPr lang="zh-CN" altLang="en-US" sz="11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年整体销量高于</a:t>
          </a:r>
          <a:r>
            <a:rPr lang="en-US" altLang="zh-CN" sz="11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2021</a:t>
          </a:r>
          <a:r>
            <a:rPr lang="zh-CN" altLang="en-US" sz="11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年，只有东北区域较</a:t>
          </a:r>
          <a:r>
            <a:rPr lang="en-US" altLang="zh-CN" sz="11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2021</a:t>
          </a:r>
          <a:r>
            <a:rPr lang="zh-CN" altLang="en-US" sz="11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有所下降</a:t>
          </a:r>
        </a:p>
      </cdr:txBody>
    </cdr:sp>
  </cdr:relSizeAnchor>
  <cdr:relSizeAnchor xmlns:cdr="http://schemas.openxmlformats.org/drawingml/2006/chartDrawing">
    <cdr:from>
      <cdr:x>0.04381</cdr:x>
      <cdr:y>0.90948</cdr:y>
    </cdr:from>
    <cdr:to>
      <cdr:x>0.84529</cdr:x>
      <cdr:y>0.98487</cdr:y>
    </cdr:to>
    <cdr:sp macro="" textlink="">
      <cdr:nvSpPr>
        <cdr:cNvPr id="3" name="文本框 12">
          <a:extLst xmlns:a="http://schemas.openxmlformats.org/drawingml/2006/main">
            <a:ext uri="{FF2B5EF4-FFF2-40B4-BE49-F238E27FC236}">
              <a16:creationId xmlns:a16="http://schemas.microsoft.com/office/drawing/2014/main" id="{FB6F2EE8-8132-7A21-0CB2-B1E593B48F14}"/>
            </a:ext>
          </a:extLst>
        </cdr:cNvPr>
        <cdr:cNvSpPr txBox="1"/>
      </cdr:nvSpPr>
      <cdr:spPr>
        <a:xfrm xmlns:a="http://schemas.openxmlformats.org/drawingml/2006/main">
          <a:off x="226996" y="3365495"/>
          <a:ext cx="4152948" cy="27897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800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*</a:t>
          </a:r>
          <a:r>
            <a:rPr lang="zh-CN" altLang="en-US" sz="800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注：数据来源于公司销售系统，统计日期截至</a:t>
          </a:r>
          <a:r>
            <a:rPr lang="en-US" altLang="zh-CN" sz="800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2022.06.30</a:t>
          </a:r>
          <a:endParaRPr lang="zh-CN" altLang="en-US" sz="800">
            <a:solidFill>
              <a:schemeClr val="bg1">
                <a:lumMod val="85000"/>
              </a:schemeClr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  <cdr:relSizeAnchor xmlns:cdr="http://schemas.openxmlformats.org/drawingml/2006/chartDrawing">
    <cdr:from>
      <cdr:x>0.32598</cdr:x>
      <cdr:y>0.2441</cdr:y>
    </cdr:from>
    <cdr:to>
      <cdr:x>0.78462</cdr:x>
      <cdr:y>0.29558</cdr:y>
    </cdr:to>
    <cdr:sp macro="" textlink="">
      <cdr:nvSpPr>
        <cdr:cNvPr id="4" name="文本框 2">
          <a:extLst xmlns:a="http://schemas.openxmlformats.org/drawingml/2006/main">
            <a:ext uri="{FF2B5EF4-FFF2-40B4-BE49-F238E27FC236}">
              <a16:creationId xmlns:a16="http://schemas.microsoft.com/office/drawing/2014/main" id="{A32C57F5-44C2-A973-260A-F40F726F06D4}"/>
            </a:ext>
          </a:extLst>
        </cdr:cNvPr>
        <cdr:cNvSpPr txBox="1"/>
      </cdr:nvSpPr>
      <cdr:spPr>
        <a:xfrm xmlns:a="http://schemas.openxmlformats.org/drawingml/2006/main">
          <a:off x="1689100" y="903288"/>
          <a:ext cx="2376487" cy="1905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1100">
              <a:solidFill>
                <a:srgbClr val="0070C0"/>
              </a:solidFill>
            </a:rPr>
            <a:t>2022</a:t>
          </a:r>
          <a:r>
            <a:rPr lang="en-US" altLang="zh-CN" sz="1100" baseline="0">
              <a:solidFill>
                <a:srgbClr val="0070C0"/>
              </a:solidFill>
            </a:rPr>
            <a:t>   </a:t>
          </a:r>
          <a:r>
            <a:rPr lang="en-US" altLang="zh-CN" sz="1100" baseline="0"/>
            <a:t>                              </a:t>
          </a:r>
          <a:r>
            <a:rPr lang="en-US" altLang="zh-CN" sz="1100" baseline="0">
              <a:solidFill>
                <a:srgbClr val="F94C66"/>
              </a:solidFill>
            </a:rPr>
            <a:t>2021</a:t>
          </a:r>
          <a:endParaRPr lang="zh-CN" altLang="en-US" sz="1100">
            <a:solidFill>
              <a:srgbClr val="F94C66"/>
            </a:solidFill>
          </a:endParaRP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552449</xdr:colOff>
      <xdr:row>7</xdr:row>
      <xdr:rowOff>184380</xdr:rowOff>
    </xdr:from>
    <xdr:to>
      <xdr:col>7</xdr:col>
      <xdr:colOff>642937</xdr:colOff>
      <xdr:row>14</xdr:row>
      <xdr:rowOff>8168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52EF8AB2-6381-4435-8A06-10473C9E5078}"/>
            </a:ext>
          </a:extLst>
        </xdr:cNvPr>
        <xdr:cNvSpPr txBox="1"/>
      </xdr:nvSpPr>
      <xdr:spPr>
        <a:xfrm>
          <a:off x="3143249" y="1408343"/>
          <a:ext cx="2033588" cy="1066800"/>
        </a:xfrm>
        <a:prstGeom prst="rect">
          <a:avLst/>
        </a:prstGeom>
        <a:noFill/>
        <a:ln w="9525" cmpd="sng">
          <a:solidFill>
            <a:schemeClr val="bg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2100"/>
            </a:lnSpc>
          </a:pPr>
          <a:r>
            <a:rPr lang="en-US" altLang="zh-CN" sz="1000" baseline="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Arial" panose="020B0604020202020204" pitchFamily="34" charset="0"/>
            </a:rPr>
            <a:t>H3</a:t>
          </a:r>
          <a:r>
            <a:rPr lang="zh-CN" altLang="en-US" sz="1000" baseline="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Arial" panose="020B0604020202020204" pitchFamily="34" charset="0"/>
            </a:rPr>
            <a:t>公式是</a:t>
          </a:r>
          <a:r>
            <a:rPr lang="en-US" altLang="zh-CN" sz="1000" baseline="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Arial" panose="020B0604020202020204" pitchFamily="34" charset="0"/>
            </a:rPr>
            <a:t>=REPT("|",C3*200)</a:t>
          </a:r>
          <a:r>
            <a:rPr lang="zh-CN" altLang="en-US" sz="1000" baseline="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Arial" panose="020B0604020202020204" pitchFamily="34" charset="0"/>
            </a:rPr>
            <a:t>，即是将上述表格</a:t>
          </a:r>
          <a:r>
            <a:rPr lang="en-US" altLang="zh-CN" sz="1000" baseline="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Arial" panose="020B0604020202020204" pitchFamily="34" charset="0"/>
            </a:rPr>
            <a:t>C3</a:t>
          </a:r>
          <a:r>
            <a:rPr lang="zh-CN" altLang="en-US" sz="1000" baseline="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Arial" panose="020B0604020202020204" pitchFamily="34" charset="0"/>
            </a:rPr>
            <a:t>乘以</a:t>
          </a:r>
          <a:r>
            <a:rPr lang="en-US" altLang="zh-CN" sz="1000" baseline="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Arial" panose="020B0604020202020204" pitchFamily="34" charset="0"/>
            </a:rPr>
            <a:t>200</a:t>
          </a:r>
          <a:r>
            <a:rPr lang="zh-CN" altLang="en-US" sz="1000" baseline="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Arial" panose="020B0604020202020204" pitchFamily="34" charset="0"/>
            </a:rPr>
            <a:t>，</a:t>
          </a:r>
          <a:r>
            <a:rPr lang="en-US" altLang="zh-CN" sz="1000" baseline="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Arial" panose="020B0604020202020204" pitchFamily="34" charset="0"/>
            </a:rPr>
            <a:t>H2</a:t>
          </a:r>
          <a:r>
            <a:rPr lang="zh-CN" altLang="en-US" sz="1000" baseline="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Arial" panose="020B0604020202020204" pitchFamily="34" charset="0"/>
            </a:rPr>
            <a:t>得到的结果是重复</a:t>
          </a:r>
          <a:r>
            <a:rPr lang="en-US" altLang="zh-CN" sz="1000" baseline="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Arial" panose="020B0604020202020204" pitchFamily="34" charset="0"/>
            </a:rPr>
            <a:t>"|"C3*200</a:t>
          </a:r>
          <a:r>
            <a:rPr lang="zh-CN" altLang="en-US" sz="1000" baseline="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Arial" panose="020B0604020202020204" pitchFamily="34" charset="0"/>
            </a:rPr>
            <a:t>次，</a:t>
          </a:r>
          <a:endParaRPr lang="en-US" altLang="zh-CN" sz="1000" baseline="0">
            <a:solidFill>
              <a:schemeClr val="tx1"/>
            </a:solidFill>
            <a:latin typeface="微软雅黑" panose="020B0503020204020204" pitchFamily="34" charset="-122"/>
            <a:ea typeface="微软雅黑" panose="020B0503020204020204" pitchFamily="34" charset="-122"/>
            <a:cs typeface="Arial" panose="020B0604020202020204" pitchFamily="34" charset="0"/>
          </a:endParaRPr>
        </a:p>
        <a:p>
          <a:pPr>
            <a:lnSpc>
              <a:spcPts val="2100"/>
            </a:lnSpc>
          </a:pPr>
          <a:r>
            <a:rPr lang="zh-CN" altLang="en-US" sz="1000" baseline="0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Arial" panose="020B0604020202020204" pitchFamily="34" charset="0"/>
            </a:rPr>
            <a:t>然后将公式下拉</a:t>
          </a:r>
          <a:endParaRPr lang="zh-CN" altLang="zh-CN" sz="1000">
            <a:solidFill>
              <a:schemeClr val="tx1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>
            <a:lnSpc>
              <a:spcPct val="150000"/>
            </a:lnSpc>
          </a:pPr>
          <a:endParaRPr lang="zh-CN" altLang="en-US" sz="1100">
            <a:solidFill>
              <a:schemeClr val="tx1"/>
            </a:solidFill>
            <a:latin typeface="+mn-ea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14287</xdr:colOff>
      <xdr:row>8</xdr:row>
      <xdr:rowOff>1</xdr:rowOff>
    </xdr:from>
    <xdr:to>
      <xdr:col>12</xdr:col>
      <xdr:colOff>61912</xdr:colOff>
      <xdr:row>14</xdr:row>
      <xdr:rowOff>33340</xdr:rowOff>
    </xdr:to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491C990B-5877-4165-ADC5-CC1C5084F5D4}"/>
            </a:ext>
          </a:extLst>
        </xdr:cNvPr>
        <xdr:cNvSpPr txBox="1"/>
      </xdr:nvSpPr>
      <xdr:spPr>
        <a:xfrm>
          <a:off x="5843587" y="1409701"/>
          <a:ext cx="1990725" cy="1090614"/>
        </a:xfrm>
        <a:prstGeom prst="rect">
          <a:avLst/>
        </a:prstGeom>
        <a:noFill/>
        <a:ln w="9525" cmpd="sng">
          <a:solidFill>
            <a:schemeClr val="bg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2100"/>
            </a:lnSpc>
          </a:pPr>
          <a:r>
            <a:rPr lang="en-US" altLang="zh-CN" sz="1000" baseline="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Arial" panose="020B0604020202020204" pitchFamily="34" charset="0"/>
            </a:rPr>
            <a:t>J3</a:t>
          </a:r>
          <a:r>
            <a:rPr lang="zh-CN" altLang="en-US" sz="1000" baseline="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Arial" panose="020B0604020202020204" pitchFamily="34" charset="0"/>
            </a:rPr>
            <a:t>公式是</a:t>
          </a:r>
          <a:r>
            <a:rPr lang="en-US" altLang="zh-CN" sz="1000" baseline="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Arial" panose="020B0604020202020204" pitchFamily="34" charset="0"/>
            </a:rPr>
            <a:t>=REPT("|",D3*200)</a:t>
          </a:r>
          <a:r>
            <a:rPr lang="zh-CN" altLang="en-US" sz="1000" baseline="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Arial" panose="020B0604020202020204" pitchFamily="34" charset="0"/>
            </a:rPr>
            <a:t>，即是将上述表格</a:t>
          </a:r>
          <a:r>
            <a:rPr lang="en-US" altLang="zh-CN" sz="1000" baseline="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Arial" panose="020B0604020202020204" pitchFamily="34" charset="0"/>
            </a:rPr>
            <a:t>D3</a:t>
          </a:r>
          <a:r>
            <a:rPr lang="zh-CN" altLang="en-US" sz="1000" baseline="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Arial" panose="020B0604020202020204" pitchFamily="34" charset="0"/>
            </a:rPr>
            <a:t>乘以</a:t>
          </a:r>
          <a:r>
            <a:rPr lang="en-US" altLang="zh-CN" sz="1000" baseline="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Arial" panose="020B0604020202020204" pitchFamily="34" charset="0"/>
            </a:rPr>
            <a:t>200</a:t>
          </a:r>
          <a:r>
            <a:rPr lang="zh-CN" altLang="en-US" sz="1000" baseline="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Arial" panose="020B0604020202020204" pitchFamily="34" charset="0"/>
            </a:rPr>
            <a:t>，</a:t>
          </a:r>
          <a:r>
            <a:rPr lang="en-US" altLang="zh-CN" sz="1000" baseline="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Arial" panose="020B0604020202020204" pitchFamily="34" charset="0"/>
            </a:rPr>
            <a:t>J3</a:t>
          </a:r>
          <a:r>
            <a:rPr lang="zh-CN" altLang="en-US" sz="1000" baseline="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Arial" panose="020B0604020202020204" pitchFamily="34" charset="0"/>
            </a:rPr>
            <a:t>得到的结果是重复</a:t>
          </a:r>
          <a:r>
            <a:rPr lang="en-US" altLang="zh-CN" sz="1000" baseline="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Arial" panose="020B0604020202020204" pitchFamily="34" charset="0"/>
            </a:rPr>
            <a:t>"|"D3*200</a:t>
          </a:r>
          <a:r>
            <a:rPr lang="zh-CN" altLang="en-US" sz="1000" baseline="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Arial" panose="020B0604020202020204" pitchFamily="34" charset="0"/>
            </a:rPr>
            <a:t>次，</a:t>
          </a:r>
          <a:endParaRPr lang="en-US" altLang="zh-CN" sz="1000" baseline="0">
            <a:solidFill>
              <a:schemeClr val="tx1"/>
            </a:solidFill>
            <a:latin typeface="微软雅黑" panose="020B0503020204020204" pitchFamily="34" charset="-122"/>
            <a:ea typeface="微软雅黑" panose="020B0503020204020204" pitchFamily="34" charset="-122"/>
            <a:cs typeface="Arial" panose="020B0604020202020204" pitchFamily="34" charset="0"/>
          </a:endParaRPr>
        </a:p>
        <a:p>
          <a:pPr>
            <a:lnSpc>
              <a:spcPts val="2100"/>
            </a:lnSpc>
          </a:pPr>
          <a:r>
            <a:rPr lang="zh-CN" altLang="en-US" sz="1000" baseline="0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Arial" panose="020B0604020202020204" pitchFamily="34" charset="0"/>
            </a:rPr>
            <a:t>然后将公式下拉</a:t>
          </a:r>
          <a:endParaRPr lang="zh-CN" altLang="zh-CN" sz="1000">
            <a:solidFill>
              <a:schemeClr val="tx1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>
            <a:lnSpc>
              <a:spcPct val="150000"/>
            </a:lnSpc>
          </a:pPr>
          <a:endParaRPr lang="zh-CN" altLang="en-US" sz="1100">
            <a:solidFill>
              <a:schemeClr val="tx1"/>
            </a:solidFill>
            <a:latin typeface="+mn-ea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16</xdr:col>
      <xdr:colOff>190500</xdr:colOff>
      <xdr:row>1</xdr:row>
      <xdr:rowOff>90487</xdr:rowOff>
    </xdr:from>
    <xdr:to>
      <xdr:col>20</xdr:col>
      <xdr:colOff>404812</xdr:colOff>
      <xdr:row>5</xdr:row>
      <xdr:rowOff>33337</xdr:rowOff>
    </xdr:to>
    <xdr:sp macro="" textlink="">
      <xdr:nvSpPr>
        <xdr:cNvPr id="4" name="文本框 11">
          <a:extLst>
            <a:ext uri="{FF2B5EF4-FFF2-40B4-BE49-F238E27FC236}">
              <a16:creationId xmlns:a16="http://schemas.microsoft.com/office/drawing/2014/main" id="{518BD571-5430-45C0-A208-B925F09C78C2}"/>
            </a:ext>
          </a:extLst>
        </xdr:cNvPr>
        <xdr:cNvSpPr txBox="1"/>
      </xdr:nvSpPr>
      <xdr:spPr>
        <a:xfrm>
          <a:off x="11849100" y="266700"/>
          <a:ext cx="2805112" cy="647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14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2022</a:t>
          </a:r>
          <a:r>
            <a:rPr lang="zh-CN" altLang="en-US" sz="14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年第一季度销售目标完成情况</a:t>
          </a:r>
          <a:endParaRPr lang="en-US" altLang="zh-CN" sz="1400" b="1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r>
            <a:rPr lang="zh-CN" altLang="en-US" sz="10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华东区域完成率最高达到</a:t>
          </a:r>
          <a:r>
            <a:rPr lang="en-US" altLang="zh-CN" sz="10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36%</a:t>
          </a:r>
          <a:r>
            <a:rPr lang="zh-CN" altLang="en-US" sz="10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，但是相比去年的</a:t>
          </a:r>
          <a:r>
            <a:rPr lang="en-US" altLang="zh-CN" sz="10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42%</a:t>
          </a:r>
          <a:r>
            <a:rPr lang="zh-CN" altLang="en-US" sz="10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有所下降</a:t>
          </a:r>
        </a:p>
      </xdr:txBody>
    </xdr:sp>
    <xdr:clientData/>
  </xdr:twoCellAnchor>
  <xdr:twoCellAnchor>
    <xdr:from>
      <xdr:col>16</xdr:col>
      <xdr:colOff>90487</xdr:colOff>
      <xdr:row>12</xdr:row>
      <xdr:rowOff>42863</xdr:rowOff>
    </xdr:from>
    <xdr:to>
      <xdr:col>20</xdr:col>
      <xdr:colOff>576311</xdr:colOff>
      <xdr:row>13</xdr:row>
      <xdr:rowOff>121816</xdr:rowOff>
    </xdr:to>
    <xdr:sp macro="" textlink="">
      <xdr:nvSpPr>
        <xdr:cNvPr id="5" name="文本框 12">
          <a:extLst>
            <a:ext uri="{FF2B5EF4-FFF2-40B4-BE49-F238E27FC236}">
              <a16:creationId xmlns:a16="http://schemas.microsoft.com/office/drawing/2014/main" id="{49989ADB-A07E-4B6E-8C59-843A4DFDF7D7}"/>
            </a:ext>
          </a:extLst>
        </xdr:cNvPr>
        <xdr:cNvSpPr txBox="1"/>
      </xdr:nvSpPr>
      <xdr:spPr>
        <a:xfrm>
          <a:off x="11749087" y="2157413"/>
          <a:ext cx="3076624" cy="2551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800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*</a:t>
          </a:r>
          <a:r>
            <a:rPr lang="zh-CN" altLang="en-US" sz="800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注：数据来源于公司销售系统，统计日期截至</a:t>
          </a:r>
          <a:r>
            <a:rPr lang="en-US" altLang="zh-CN" sz="800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2022.03.31</a:t>
          </a:r>
          <a:endParaRPr lang="zh-CN" altLang="en-US" sz="800">
            <a:solidFill>
              <a:schemeClr val="bg1">
                <a:lumMod val="85000"/>
              </a:schemeClr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15</xdr:col>
      <xdr:colOff>0</xdr:colOff>
      <xdr:row>22</xdr:row>
      <xdr:rowOff>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C17C9E72-BA6B-46DE-AA03-3CCAE5B5BA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0.04657</cdr:x>
      <cdr:y>0.05234</cdr:y>
    </cdr:from>
    <cdr:to>
      <cdr:x>0.94364</cdr:x>
      <cdr:y>0.27189</cdr:y>
    </cdr:to>
    <cdr:sp macro="" textlink="">
      <cdr:nvSpPr>
        <cdr:cNvPr id="2" name="文本框 11">
          <a:extLst xmlns:a="http://schemas.openxmlformats.org/drawingml/2006/main">
            <a:ext uri="{FF2B5EF4-FFF2-40B4-BE49-F238E27FC236}">
              <a16:creationId xmlns:a16="http://schemas.microsoft.com/office/drawing/2014/main" id="{2F4F4635-E1A0-9CA0-8DDB-2007E3B0ABC5}"/>
            </a:ext>
          </a:extLst>
        </cdr:cNvPr>
        <cdr:cNvSpPr txBox="1"/>
      </cdr:nvSpPr>
      <cdr:spPr>
        <a:xfrm xmlns:a="http://schemas.openxmlformats.org/drawingml/2006/main">
          <a:off x="241301" y="193675"/>
          <a:ext cx="4648258" cy="8124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18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2021</a:t>
          </a:r>
          <a:r>
            <a:rPr lang="zh-CN" altLang="en-US" sz="18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年各区域销量及同比情况</a:t>
          </a:r>
          <a:endParaRPr lang="en-US" altLang="zh-CN" sz="1800" b="1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 xmlns:a="http://schemas.openxmlformats.org/drawingml/2006/main">
          <a:r>
            <a:rPr lang="zh-CN" altLang="en-US" sz="11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各区域商品销量同比去年均有下降，其中华南下降最多，同比下降</a:t>
          </a:r>
          <a:r>
            <a:rPr lang="en-US" altLang="zh-CN" sz="11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20.8%</a:t>
          </a:r>
          <a:endParaRPr lang="zh-CN" altLang="en-US" sz="1100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  <cdr:relSizeAnchor xmlns:cdr="http://schemas.openxmlformats.org/drawingml/2006/chartDrawing">
    <cdr:from>
      <cdr:x>0.03646</cdr:x>
      <cdr:y>0.9082</cdr:y>
    </cdr:from>
    <cdr:to>
      <cdr:x>0.83794</cdr:x>
      <cdr:y>0.98358</cdr:y>
    </cdr:to>
    <cdr:sp macro="" textlink="">
      <cdr:nvSpPr>
        <cdr:cNvPr id="3" name="文本框 12">
          <a:extLst xmlns:a="http://schemas.openxmlformats.org/drawingml/2006/main">
            <a:ext uri="{FF2B5EF4-FFF2-40B4-BE49-F238E27FC236}">
              <a16:creationId xmlns:a16="http://schemas.microsoft.com/office/drawing/2014/main" id="{EB48CB08-0A73-285A-C618-42166BB26084}"/>
            </a:ext>
          </a:extLst>
        </cdr:cNvPr>
        <cdr:cNvSpPr txBox="1"/>
      </cdr:nvSpPr>
      <cdr:spPr>
        <a:xfrm xmlns:a="http://schemas.openxmlformats.org/drawingml/2006/main">
          <a:off x="188921" y="3360742"/>
          <a:ext cx="4152949" cy="2789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800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*</a:t>
          </a:r>
          <a:r>
            <a:rPr lang="zh-CN" altLang="en-US" sz="800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注：数据来源于公司销售系统，统计日期截至</a:t>
          </a:r>
          <a:r>
            <a:rPr lang="en-US" altLang="zh-CN" sz="800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2022.01.01</a:t>
          </a:r>
          <a:endParaRPr lang="zh-CN" altLang="en-US" sz="800">
            <a:solidFill>
              <a:schemeClr val="bg1">
                <a:lumMod val="85000"/>
              </a:schemeClr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</c:userShapes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2CA48B3-EE3C-4E8C-972F-785557F86D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0.04105</cdr:x>
      <cdr:y>0.04309</cdr:y>
    </cdr:from>
    <cdr:to>
      <cdr:x>0.96875</cdr:x>
      <cdr:y>0.25147</cdr:y>
    </cdr:to>
    <cdr:sp macro="" textlink="">
      <cdr:nvSpPr>
        <cdr:cNvPr id="4" name="文本框 11">
          <a:extLst xmlns:a="http://schemas.openxmlformats.org/drawingml/2006/main">
            <a:ext uri="{FF2B5EF4-FFF2-40B4-BE49-F238E27FC236}">
              <a16:creationId xmlns:a16="http://schemas.microsoft.com/office/drawing/2014/main" id="{ECB291DA-FDA4-93DC-2E06-1E485CB80EC8}"/>
            </a:ext>
          </a:extLst>
        </cdr:cNvPr>
        <cdr:cNvSpPr txBox="1"/>
      </cdr:nvSpPr>
      <cdr:spPr>
        <a:xfrm xmlns:a="http://schemas.openxmlformats.org/drawingml/2006/main">
          <a:off x="212724" y="174625"/>
          <a:ext cx="4806951" cy="84455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20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2022</a:t>
          </a:r>
          <a:r>
            <a:rPr lang="zh-CN" altLang="en-US" sz="20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年商品对比去年销售情况</a:t>
          </a:r>
          <a:endParaRPr lang="en-US" altLang="zh-CN" sz="2000" b="1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 xmlns:a="http://schemas.openxmlformats.org/drawingml/2006/main">
          <a:r>
            <a:rPr lang="zh-CN" altLang="en-US" sz="12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商品整体比去年销量有所下降，其中隔离下降最多，下降</a:t>
          </a:r>
          <a:r>
            <a:rPr lang="en-US" altLang="zh-CN" sz="12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33%</a:t>
          </a:r>
          <a:endParaRPr lang="zh-CN" altLang="en-US" sz="1200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  <cdr:relSizeAnchor xmlns:cdr="http://schemas.openxmlformats.org/drawingml/2006/chartDrawing">
    <cdr:from>
      <cdr:x>0.02819</cdr:x>
      <cdr:y>0.91265</cdr:y>
    </cdr:from>
    <cdr:to>
      <cdr:x>0.82967</cdr:x>
      <cdr:y>0.98149</cdr:y>
    </cdr:to>
    <cdr:sp macro="" textlink="">
      <cdr:nvSpPr>
        <cdr:cNvPr id="5" name="文本框 12">
          <a:extLst xmlns:a="http://schemas.openxmlformats.org/drawingml/2006/main">
            <a:ext uri="{FF2B5EF4-FFF2-40B4-BE49-F238E27FC236}">
              <a16:creationId xmlns:a16="http://schemas.microsoft.com/office/drawing/2014/main" id="{01C3617C-5D90-810B-5F8B-B300F75A68D8}"/>
            </a:ext>
          </a:extLst>
        </cdr:cNvPr>
        <cdr:cNvSpPr txBox="1"/>
      </cdr:nvSpPr>
      <cdr:spPr>
        <a:xfrm xmlns:a="http://schemas.openxmlformats.org/drawingml/2006/main">
          <a:off x="146051" y="3698868"/>
          <a:ext cx="4152949" cy="2790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800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*</a:t>
          </a:r>
          <a:r>
            <a:rPr lang="zh-CN" altLang="en-US" sz="800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注：数据来源于公司销售系统，统计日期截至</a:t>
          </a:r>
          <a:r>
            <a:rPr lang="en-US" altLang="zh-CN" sz="800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2022.01.01</a:t>
          </a:r>
          <a:endParaRPr lang="zh-CN" altLang="en-US" sz="800">
            <a:solidFill>
              <a:schemeClr val="bg1">
                <a:lumMod val="85000"/>
              </a:schemeClr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</c:userShapes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319086</xdr:colOff>
      <xdr:row>2</xdr:row>
      <xdr:rowOff>19050</xdr:rowOff>
    </xdr:from>
    <xdr:to>
      <xdr:col>18</xdr:col>
      <xdr:colOff>0</xdr:colOff>
      <xdr:row>23</xdr:row>
      <xdr:rowOff>19050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8DDBB54-36A8-4F76-9C30-2782C52D65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0.00173</cdr:x>
      <cdr:y>0.00129</cdr:y>
    </cdr:from>
    <cdr:to>
      <cdr:x>0.99827</cdr:x>
      <cdr:y>0.11969</cdr:y>
    </cdr:to>
    <cdr:sp macro="" textlink="">
      <cdr:nvSpPr>
        <cdr:cNvPr id="2" name="文本框 11">
          <a:extLst xmlns:a="http://schemas.openxmlformats.org/drawingml/2006/main">
            <a:ext uri="{FF2B5EF4-FFF2-40B4-BE49-F238E27FC236}">
              <a16:creationId xmlns:a16="http://schemas.microsoft.com/office/drawing/2014/main" id="{3D5BF3B2-0FD0-0829-6FCC-D1A29A63F94A}"/>
            </a:ext>
          </a:extLst>
        </cdr:cNvPr>
        <cdr:cNvSpPr txBox="1"/>
      </cdr:nvSpPr>
      <cdr:spPr>
        <a:xfrm xmlns:a="http://schemas.openxmlformats.org/drawingml/2006/main">
          <a:off x="9525" y="4763"/>
          <a:ext cx="5491163" cy="43815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altLang="zh-CN" sz="16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2022</a:t>
          </a:r>
          <a:r>
            <a:rPr lang="zh-CN" altLang="en-US" sz="16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年化妆品类目采购项目进度</a:t>
          </a:r>
          <a:endParaRPr lang="en-US" altLang="zh-CN" sz="1600" b="1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</c:userShapes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176212</xdr:rowOff>
    </xdr:from>
    <xdr:to>
      <xdr:col>13</xdr:col>
      <xdr:colOff>0</xdr:colOff>
      <xdr:row>23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0.09325</cdr:x>
      <cdr:y>0.83552</cdr:y>
    </cdr:from>
    <cdr:to>
      <cdr:x>0.73338</cdr:x>
      <cdr:y>0.88698</cdr:y>
    </cdr:to>
    <cdr:sp macro="" textlink="">
      <cdr:nvSpPr>
        <cdr:cNvPr id="2" name="矩形: 圆角 1">
          <a:extLst xmlns:a="http://schemas.openxmlformats.org/drawingml/2006/main">
            <a:ext uri="{FF2B5EF4-FFF2-40B4-BE49-F238E27FC236}">
              <a16:creationId xmlns:a16="http://schemas.microsoft.com/office/drawing/2014/main" id="{EB4AEE03-51DE-FAA5-2325-58F2140E63EB}"/>
            </a:ext>
          </a:extLst>
        </cdr:cNvPr>
        <cdr:cNvSpPr/>
      </cdr:nvSpPr>
      <cdr:spPr>
        <a:xfrm xmlns:a="http://schemas.openxmlformats.org/drawingml/2006/main">
          <a:off x="483197" y="3239027"/>
          <a:ext cx="3316874" cy="199499"/>
        </a:xfrm>
        <a:prstGeom xmlns:a="http://schemas.openxmlformats.org/drawingml/2006/main" prst="roundRect">
          <a:avLst/>
        </a:prstGeom>
        <a:solidFill xmlns:a="http://schemas.openxmlformats.org/drawingml/2006/main">
          <a:srgbClr val="66CBDD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r>
            <a:rPr lang="en-US" altLang="zh-CN" sz="1000"/>
            <a:t>2021</a:t>
          </a:r>
          <a:endParaRPr lang="zh-CN" sz="1000"/>
        </a:p>
      </cdr:txBody>
    </cdr:sp>
  </cdr:relSizeAnchor>
  <cdr:relSizeAnchor xmlns:cdr="http://schemas.openxmlformats.org/drawingml/2006/chartDrawing">
    <cdr:from>
      <cdr:x>0.74219</cdr:x>
      <cdr:y>0.83427</cdr:y>
    </cdr:from>
    <cdr:to>
      <cdr:x>0.97702</cdr:x>
      <cdr:y>0.88943</cdr:y>
    </cdr:to>
    <cdr:sp macro="" textlink="">
      <cdr:nvSpPr>
        <cdr:cNvPr id="3" name="矩形: 圆角 2">
          <a:extLst xmlns:a="http://schemas.openxmlformats.org/drawingml/2006/main">
            <a:ext uri="{FF2B5EF4-FFF2-40B4-BE49-F238E27FC236}">
              <a16:creationId xmlns:a16="http://schemas.microsoft.com/office/drawing/2014/main" id="{23BB2DC8-6571-3366-197A-863277292688}"/>
            </a:ext>
          </a:extLst>
        </cdr:cNvPr>
        <cdr:cNvSpPr/>
      </cdr:nvSpPr>
      <cdr:spPr>
        <a:xfrm xmlns:a="http://schemas.openxmlformats.org/drawingml/2006/main">
          <a:off x="3845734" y="3234196"/>
          <a:ext cx="1216804" cy="213855"/>
        </a:xfrm>
        <a:prstGeom xmlns:a="http://schemas.openxmlformats.org/drawingml/2006/main" prst="roundRect">
          <a:avLst/>
        </a:prstGeom>
        <a:solidFill xmlns:a="http://schemas.openxmlformats.org/drawingml/2006/main">
          <a:srgbClr val="F5C353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wrap="square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altLang="zh-CN" sz="1000"/>
            <a:t>2022</a:t>
          </a:r>
          <a:endParaRPr lang="zh-CN" sz="1000"/>
        </a:p>
      </cdr:txBody>
    </cdr:sp>
  </cdr:relSizeAnchor>
  <cdr:relSizeAnchor xmlns:cdr="http://schemas.openxmlformats.org/drawingml/2006/chartDrawing">
    <cdr:from>
      <cdr:x>0.7791</cdr:x>
      <cdr:y>0.30958</cdr:y>
    </cdr:from>
    <cdr:to>
      <cdr:x>0.77941</cdr:x>
      <cdr:y>0.76167</cdr:y>
    </cdr:to>
    <cdr:cxnSp macro="">
      <cdr:nvCxnSpPr>
        <cdr:cNvPr id="4" name="直接连接符 3">
          <a:extLst xmlns:a="http://schemas.openxmlformats.org/drawingml/2006/main">
            <a:ext uri="{FF2B5EF4-FFF2-40B4-BE49-F238E27FC236}">
              <a16:creationId xmlns:a16="http://schemas.microsoft.com/office/drawing/2014/main" id="{FA19977E-5516-880A-9765-5E9D1F119C3F}"/>
            </a:ext>
          </a:extLst>
        </cdr:cNvPr>
        <cdr:cNvCxnSpPr/>
      </cdr:nvCxnSpPr>
      <cdr:spPr>
        <a:xfrm xmlns:a="http://schemas.openxmlformats.org/drawingml/2006/main">
          <a:off x="4036969" y="1200151"/>
          <a:ext cx="1632" cy="175260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E66B4C"/>
          </a:solidFill>
          <a:prstDash val="lg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0.03554</cdr:x>
      <cdr:y>0.02294</cdr:y>
    </cdr:from>
    <cdr:to>
      <cdr:x>0.9326</cdr:x>
      <cdr:y>0.25634</cdr:y>
    </cdr:to>
    <cdr:sp macro="" textlink="">
      <cdr:nvSpPr>
        <cdr:cNvPr id="5" name="文本框 11">
          <a:extLst xmlns:a="http://schemas.openxmlformats.org/drawingml/2006/main">
            <a:ext uri="{FF2B5EF4-FFF2-40B4-BE49-F238E27FC236}">
              <a16:creationId xmlns:a16="http://schemas.microsoft.com/office/drawing/2014/main" id="{038C95D5-2C31-DDEE-BD57-48E515592581}"/>
            </a:ext>
          </a:extLst>
        </cdr:cNvPr>
        <cdr:cNvSpPr txBox="1"/>
      </cdr:nvSpPr>
      <cdr:spPr>
        <a:xfrm xmlns:a="http://schemas.openxmlformats.org/drawingml/2006/main">
          <a:off x="184145" y="88912"/>
          <a:ext cx="4648206" cy="90485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zh-CN" altLang="en-US" sz="20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化妆品品类月度销量走势</a:t>
          </a:r>
          <a:endParaRPr lang="en-US" altLang="zh-CN" sz="2000" b="1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 xmlns:a="http://schemas.openxmlformats.org/drawingml/2006/main">
          <a:pPr>
            <a:lnSpc>
              <a:spcPts val="2000"/>
            </a:lnSpc>
          </a:pPr>
          <a:r>
            <a:rPr lang="en-US" altLang="zh-CN" sz="14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2022</a:t>
          </a:r>
          <a:r>
            <a:rPr lang="zh-CN" altLang="en-US" sz="14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年销量迅速增加，</a:t>
          </a:r>
          <a:r>
            <a:rPr lang="en-US" altLang="zh-CN" sz="14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1</a:t>
          </a:r>
          <a:r>
            <a:rPr lang="zh-CN" altLang="en-US" sz="14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月最高，销量达到</a:t>
          </a:r>
          <a:r>
            <a:rPr lang="en-US" altLang="zh-CN" sz="14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3782</a:t>
          </a:r>
          <a:endParaRPr lang="zh-CN" altLang="en-US" sz="1200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  <cdr:relSizeAnchor xmlns:cdr="http://schemas.openxmlformats.org/drawingml/2006/chartDrawing">
    <cdr:from>
      <cdr:x>0.02819</cdr:x>
      <cdr:y>0.90991</cdr:y>
    </cdr:from>
    <cdr:to>
      <cdr:x>0.82966</cdr:x>
      <cdr:y>0.97503</cdr:y>
    </cdr:to>
    <cdr:sp macro="" textlink="">
      <cdr:nvSpPr>
        <cdr:cNvPr id="6" name="文本框 12">
          <a:extLst xmlns:a="http://schemas.openxmlformats.org/drawingml/2006/main">
            <a:ext uri="{FF2B5EF4-FFF2-40B4-BE49-F238E27FC236}">
              <a16:creationId xmlns:a16="http://schemas.microsoft.com/office/drawing/2014/main" id="{10B08238-CF7B-3422-B4DE-D731DE3D9A8A}"/>
            </a:ext>
          </a:extLst>
        </cdr:cNvPr>
        <cdr:cNvSpPr txBox="1"/>
      </cdr:nvSpPr>
      <cdr:spPr>
        <a:xfrm xmlns:a="http://schemas.openxmlformats.org/drawingml/2006/main">
          <a:off x="146051" y="3527425"/>
          <a:ext cx="4152897" cy="25244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800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*</a:t>
          </a:r>
          <a:r>
            <a:rPr lang="zh-CN" altLang="en-US" sz="800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注：数据来源于公司销售系统，统计日期截至</a:t>
          </a:r>
          <a:r>
            <a:rPr lang="en-US" altLang="zh-CN" sz="800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2022.03.31</a:t>
          </a:r>
          <a:endParaRPr lang="zh-CN" altLang="en-US" sz="800">
            <a:solidFill>
              <a:schemeClr val="bg1">
                <a:lumMod val="85000"/>
              </a:schemeClr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</c:userShapes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13</xdr:col>
      <xdr:colOff>2382</xdr:colOff>
      <xdr:row>22</xdr:row>
      <xdr:rowOff>9526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0.0493</cdr:x>
      <cdr:y>0.03552</cdr:y>
    </cdr:from>
    <cdr:to>
      <cdr:x>0.94595</cdr:x>
      <cdr:y>0.27941</cdr:y>
    </cdr:to>
    <cdr:sp macro="" textlink="">
      <cdr:nvSpPr>
        <cdr:cNvPr id="3" name="文本框 11">
          <a:extLst xmlns:a="http://schemas.openxmlformats.org/drawingml/2006/main">
            <a:ext uri="{FF2B5EF4-FFF2-40B4-BE49-F238E27FC236}">
              <a16:creationId xmlns:a16="http://schemas.microsoft.com/office/drawing/2014/main" id="{4951F96B-F0BA-9BA4-533E-763DCA3FFD6E}"/>
            </a:ext>
          </a:extLst>
        </cdr:cNvPr>
        <cdr:cNvSpPr txBox="1"/>
      </cdr:nvSpPr>
      <cdr:spPr>
        <a:xfrm xmlns:a="http://schemas.openxmlformats.org/drawingml/2006/main">
          <a:off x="255588" y="131763"/>
          <a:ext cx="4648206" cy="90486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20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2022</a:t>
          </a:r>
          <a:r>
            <a:rPr lang="zh-CN" altLang="en-US" sz="20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年</a:t>
          </a:r>
          <a:r>
            <a:rPr lang="en-US" altLang="zh-CN" sz="20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1-8</a:t>
          </a:r>
          <a:r>
            <a:rPr lang="zh-CN" altLang="en-US" sz="20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月公司计划完成率</a:t>
          </a:r>
          <a:endParaRPr lang="en-US" altLang="zh-CN" sz="2000" b="1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 xmlns:a="http://schemas.openxmlformats.org/drawingml/2006/main">
          <a:pPr>
            <a:lnSpc>
              <a:spcPts val="2000"/>
            </a:lnSpc>
          </a:pPr>
          <a:r>
            <a:rPr lang="zh-CN" altLang="en-US" sz="12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公司整体完成率</a:t>
          </a:r>
          <a:r>
            <a:rPr lang="en-US" altLang="zh-CN" sz="12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55%</a:t>
          </a:r>
          <a:r>
            <a:rPr lang="zh-CN" altLang="en-US" sz="12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，</a:t>
          </a:r>
          <a:r>
            <a:rPr lang="en-US" altLang="zh-CN" sz="12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4</a:t>
          </a:r>
          <a:r>
            <a:rPr lang="zh-CN" altLang="en-US" sz="12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月和</a:t>
          </a:r>
          <a:r>
            <a:rPr lang="en-US" altLang="zh-CN" sz="12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8</a:t>
          </a:r>
          <a:r>
            <a:rPr lang="zh-CN" altLang="en-US" sz="12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月超过</a:t>
          </a:r>
          <a:r>
            <a:rPr lang="en-US" altLang="zh-CN" sz="12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70%</a:t>
          </a:r>
          <a:r>
            <a:rPr lang="zh-CN" altLang="en-US" sz="12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，</a:t>
          </a:r>
          <a:r>
            <a:rPr lang="en-US" altLang="zh-CN" sz="12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</a:t>
          </a:r>
          <a:r>
            <a:rPr lang="zh-CN" altLang="en-US" sz="12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月和</a:t>
          </a:r>
          <a:r>
            <a:rPr lang="en-US" altLang="zh-CN" sz="12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6</a:t>
          </a:r>
          <a:r>
            <a:rPr lang="zh-CN" altLang="en-US" sz="12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月较低未过半</a:t>
          </a:r>
        </a:p>
      </cdr:txBody>
    </cdr:sp>
  </cdr:relSizeAnchor>
  <cdr:relSizeAnchor xmlns:cdr="http://schemas.openxmlformats.org/drawingml/2006/chartDrawing">
    <cdr:from>
      <cdr:x>0.0539</cdr:x>
      <cdr:y>0.90714</cdr:y>
    </cdr:from>
    <cdr:to>
      <cdr:x>0.855</cdr:x>
      <cdr:y>0.97519</cdr:y>
    </cdr:to>
    <cdr:sp macro="" textlink="">
      <cdr:nvSpPr>
        <cdr:cNvPr id="4" name="文本框 12">
          <a:extLst xmlns:a="http://schemas.openxmlformats.org/drawingml/2006/main">
            <a:ext uri="{FF2B5EF4-FFF2-40B4-BE49-F238E27FC236}">
              <a16:creationId xmlns:a16="http://schemas.microsoft.com/office/drawing/2014/main" id="{1EA798D2-4DE9-AE7A-92C8-20B139FAB2DC}"/>
            </a:ext>
          </a:extLst>
        </cdr:cNvPr>
        <cdr:cNvSpPr txBox="1"/>
      </cdr:nvSpPr>
      <cdr:spPr>
        <a:xfrm xmlns:a="http://schemas.openxmlformats.org/drawingml/2006/main">
          <a:off x="279403" y="3365485"/>
          <a:ext cx="4152888" cy="25246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800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*</a:t>
          </a:r>
          <a:r>
            <a:rPr lang="zh-CN" altLang="en-US" sz="800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注：数据来源于公司销售系统，统计日期截至</a:t>
          </a:r>
          <a:r>
            <a:rPr lang="en-US" altLang="zh-CN" sz="800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2022.08.31</a:t>
          </a:r>
          <a:endParaRPr lang="zh-CN" altLang="en-US" sz="800">
            <a:solidFill>
              <a:schemeClr val="bg1">
                <a:lumMod val="85000"/>
              </a:schemeClr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</c:userShapes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13</xdr:col>
      <xdr:colOff>0</xdr:colOff>
      <xdr:row>23</xdr:row>
      <xdr:rowOff>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c:userShapes xmlns:c="http://schemas.openxmlformats.org/drawingml/2006/chart">
  <cdr:relSizeAnchor xmlns:cdr="http://schemas.openxmlformats.org/drawingml/2006/chartDrawing">
    <cdr:from>
      <cdr:x>0.04657</cdr:x>
      <cdr:y>0.03146</cdr:y>
    </cdr:from>
    <cdr:to>
      <cdr:x>0.94363</cdr:x>
      <cdr:y>0.24541</cdr:y>
    </cdr:to>
    <cdr:sp macro="" textlink="">
      <cdr:nvSpPr>
        <cdr:cNvPr id="2" name="文本框 11">
          <a:extLst xmlns:a="http://schemas.openxmlformats.org/drawingml/2006/main">
            <a:ext uri="{FF2B5EF4-FFF2-40B4-BE49-F238E27FC236}">
              <a16:creationId xmlns:a16="http://schemas.microsoft.com/office/drawing/2014/main" id="{E8D6E806-80DC-B53E-592D-993258B6DBAE}"/>
            </a:ext>
          </a:extLst>
        </cdr:cNvPr>
        <cdr:cNvSpPr txBox="1"/>
      </cdr:nvSpPr>
      <cdr:spPr>
        <a:xfrm xmlns:a="http://schemas.openxmlformats.org/drawingml/2006/main">
          <a:off x="241311" y="121968"/>
          <a:ext cx="4648206" cy="82941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20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2022</a:t>
          </a:r>
          <a:r>
            <a:rPr lang="zh-CN" altLang="en-US" sz="20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年上半年各月同比去年销量</a:t>
          </a:r>
          <a:endParaRPr lang="en-US" altLang="zh-CN" sz="2000" b="1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 xmlns:a="http://schemas.openxmlformats.org/drawingml/2006/main">
          <a:pPr>
            <a:lnSpc>
              <a:spcPts val="2000"/>
            </a:lnSpc>
          </a:pPr>
          <a:r>
            <a:rPr lang="zh-CN" altLang="en-US" sz="12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上半年同比去年增长明显，</a:t>
          </a:r>
          <a:r>
            <a:rPr lang="en-US" altLang="zh-CN" sz="12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5</a:t>
          </a:r>
          <a:r>
            <a:rPr lang="zh-CN" altLang="en-US" sz="12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月份同比增长最多，增长近</a:t>
          </a:r>
          <a:r>
            <a:rPr lang="en-US" altLang="zh-CN" sz="12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40%</a:t>
          </a:r>
          <a:endParaRPr lang="zh-CN" altLang="en-US" sz="1200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  <cdr:relSizeAnchor xmlns:cdr="http://schemas.openxmlformats.org/drawingml/2006/chartDrawing">
    <cdr:from>
      <cdr:x>0.04565</cdr:x>
      <cdr:y>0.91383</cdr:y>
    </cdr:from>
    <cdr:to>
      <cdr:x>0.84712</cdr:x>
      <cdr:y>0.97352</cdr:y>
    </cdr:to>
    <cdr:sp macro="" textlink="">
      <cdr:nvSpPr>
        <cdr:cNvPr id="3" name="文本框 12">
          <a:extLst xmlns:a="http://schemas.openxmlformats.org/drawingml/2006/main">
            <a:ext uri="{FF2B5EF4-FFF2-40B4-BE49-F238E27FC236}">
              <a16:creationId xmlns:a16="http://schemas.microsoft.com/office/drawing/2014/main" id="{3B63CF5B-C072-2D03-4763-57E32ED587FD}"/>
            </a:ext>
          </a:extLst>
        </cdr:cNvPr>
        <cdr:cNvSpPr txBox="1"/>
      </cdr:nvSpPr>
      <cdr:spPr>
        <a:xfrm xmlns:a="http://schemas.openxmlformats.org/drawingml/2006/main">
          <a:off x="236549" y="3542634"/>
          <a:ext cx="4152897" cy="2313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800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*</a:t>
          </a:r>
          <a:r>
            <a:rPr lang="zh-CN" altLang="en-US" sz="800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注：数据来源于公司销售系统，统计日期截至</a:t>
          </a:r>
          <a:r>
            <a:rPr lang="en-US" altLang="zh-CN" sz="800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2022.06.30</a:t>
          </a:r>
          <a:endParaRPr lang="zh-CN" altLang="en-US" sz="800">
            <a:solidFill>
              <a:schemeClr val="bg1">
                <a:lumMod val="85000"/>
              </a:schemeClr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</c:userShapes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12</xdr:col>
      <xdr:colOff>0</xdr:colOff>
      <xdr:row>23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c:userShapes xmlns:c="http://schemas.openxmlformats.org/drawingml/2006/chart">
  <cdr:relSizeAnchor xmlns:cdr="http://schemas.openxmlformats.org/drawingml/2006/chartDrawing">
    <cdr:from>
      <cdr:x>0.35768</cdr:x>
      <cdr:y>0.42968</cdr:y>
    </cdr:from>
    <cdr:to>
      <cdr:x>0.65534</cdr:x>
      <cdr:y>0.62338</cdr:y>
    </cdr:to>
    <cdr:sp macro="" textlink="">
      <cdr:nvSpPr>
        <cdr:cNvPr id="2" name="文本框 1">
          <a:extLst xmlns:a="http://schemas.openxmlformats.org/drawingml/2006/main">
            <a:ext uri="{FF2B5EF4-FFF2-40B4-BE49-F238E27FC236}">
              <a16:creationId xmlns:a16="http://schemas.microsoft.com/office/drawing/2014/main" id="{8C459BD9-B0B5-897D-D472-9AAC995E979B}"/>
            </a:ext>
          </a:extLst>
        </cdr:cNvPr>
        <cdr:cNvSpPr txBox="1"/>
      </cdr:nvSpPr>
      <cdr:spPr>
        <a:xfrm xmlns:a="http://schemas.openxmlformats.org/drawingml/2006/main">
          <a:off x="1853354" y="1665742"/>
          <a:ext cx="1542331" cy="7508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altLang="zh-CN" sz="3600" b="0">
              <a:solidFill>
                <a:schemeClr val="bg1"/>
              </a:solidFill>
            </a:rPr>
            <a:t>85%</a:t>
          </a:r>
          <a:endParaRPr lang="zh-CN" altLang="en-US" sz="3600" b="0">
            <a:solidFill>
              <a:schemeClr val="bg1"/>
            </a:solidFill>
          </a:endParaRPr>
        </a:p>
      </cdr:txBody>
    </cdr:sp>
  </cdr:relSizeAnchor>
  <cdr:relSizeAnchor xmlns:cdr="http://schemas.openxmlformats.org/drawingml/2006/chartDrawing">
    <cdr:from>
      <cdr:x>0.41054</cdr:x>
      <cdr:y>0.62735</cdr:y>
    </cdr:from>
    <cdr:to>
      <cdr:x>0.59436</cdr:x>
      <cdr:y>0.69738</cdr:y>
    </cdr:to>
    <cdr:sp macro="" textlink="">
      <cdr:nvSpPr>
        <cdr:cNvPr id="3" name="文本框 19">
          <a:extLst xmlns:a="http://schemas.openxmlformats.org/drawingml/2006/main">
            <a:ext uri="{FF2B5EF4-FFF2-40B4-BE49-F238E27FC236}">
              <a16:creationId xmlns:a16="http://schemas.microsoft.com/office/drawing/2014/main" id="{09E05F38-244F-9B1E-7625-4247EB45AFC9}"/>
            </a:ext>
          </a:extLst>
        </cdr:cNvPr>
        <cdr:cNvSpPr txBox="1"/>
      </cdr:nvSpPr>
      <cdr:spPr>
        <a:xfrm xmlns:a="http://schemas.openxmlformats.org/drawingml/2006/main">
          <a:off x="2127250" y="2432050"/>
          <a:ext cx="952500" cy="27146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zh-CN" altLang="en-US" sz="1100">
              <a:solidFill>
                <a:schemeClr val="bg1">
                  <a:lumMod val="95000"/>
                </a:schemeClr>
              </a:solidFill>
            </a:rPr>
            <a:t>目标完成率</a:t>
          </a:r>
        </a:p>
      </cdr:txBody>
    </cdr:sp>
  </cdr:relSizeAnchor>
  <cdr:relSizeAnchor xmlns:cdr="http://schemas.openxmlformats.org/drawingml/2006/chartDrawing">
    <cdr:from>
      <cdr:x>0.04197</cdr:x>
      <cdr:y>0.04259</cdr:y>
    </cdr:from>
    <cdr:to>
      <cdr:x>0.93903</cdr:x>
      <cdr:y>0.276</cdr:y>
    </cdr:to>
    <cdr:sp macro="" textlink="">
      <cdr:nvSpPr>
        <cdr:cNvPr id="4" name="文本框 11">
          <a:extLst xmlns:a="http://schemas.openxmlformats.org/drawingml/2006/main">
            <a:ext uri="{FF2B5EF4-FFF2-40B4-BE49-F238E27FC236}">
              <a16:creationId xmlns:a16="http://schemas.microsoft.com/office/drawing/2014/main" id="{A39BD485-70AE-BB12-70C8-47DE8414886E}"/>
            </a:ext>
          </a:extLst>
        </cdr:cNvPr>
        <cdr:cNvSpPr txBox="1"/>
      </cdr:nvSpPr>
      <cdr:spPr>
        <a:xfrm xmlns:a="http://schemas.openxmlformats.org/drawingml/2006/main">
          <a:off x="217486" y="165102"/>
          <a:ext cx="4648206" cy="9048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18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2022</a:t>
          </a:r>
          <a:r>
            <a:rPr lang="zh-CN" altLang="en-US" sz="18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年上半年目标完成率</a:t>
          </a:r>
          <a:endParaRPr lang="en-US" altLang="zh-CN" sz="1800" b="1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 xmlns:a="http://schemas.openxmlformats.org/drawingml/2006/main">
          <a:pPr>
            <a:lnSpc>
              <a:spcPts val="2000"/>
            </a:lnSpc>
          </a:pPr>
          <a:r>
            <a:rPr lang="zh-CN" altLang="en-US" sz="12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截至</a:t>
          </a:r>
          <a:r>
            <a:rPr lang="en-US" altLang="zh-CN" sz="12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6</a:t>
          </a:r>
          <a:r>
            <a:rPr lang="zh-CN" altLang="en-US" sz="12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月</a:t>
          </a:r>
          <a:r>
            <a:rPr lang="en-US" altLang="zh-CN" sz="12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30</a:t>
          </a:r>
          <a:r>
            <a:rPr lang="zh-CN" altLang="en-US" sz="12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日销售目标总体完成率达到</a:t>
          </a:r>
          <a:r>
            <a:rPr lang="en-US" altLang="zh-CN" sz="12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85%</a:t>
          </a:r>
          <a:endParaRPr lang="zh-CN" altLang="en-US" sz="1100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  <cdr:relSizeAnchor xmlns:cdr="http://schemas.openxmlformats.org/drawingml/2006/chartDrawing">
    <cdr:from>
      <cdr:x>0.03646</cdr:x>
      <cdr:y>0.91114</cdr:y>
    </cdr:from>
    <cdr:to>
      <cdr:x>0.83793</cdr:x>
      <cdr:y>0.97626</cdr:y>
    </cdr:to>
    <cdr:sp macro="" textlink="">
      <cdr:nvSpPr>
        <cdr:cNvPr id="5" name="文本框 12">
          <a:extLst xmlns:a="http://schemas.openxmlformats.org/drawingml/2006/main">
            <a:ext uri="{FF2B5EF4-FFF2-40B4-BE49-F238E27FC236}">
              <a16:creationId xmlns:a16="http://schemas.microsoft.com/office/drawing/2014/main" id="{D458E39D-4CD1-06FB-75F7-FDF39E080BB0}"/>
            </a:ext>
          </a:extLst>
        </cdr:cNvPr>
        <cdr:cNvSpPr txBox="1"/>
      </cdr:nvSpPr>
      <cdr:spPr>
        <a:xfrm xmlns:a="http://schemas.openxmlformats.org/drawingml/2006/main">
          <a:off x="188930" y="3532187"/>
          <a:ext cx="4152897" cy="252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800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*</a:t>
          </a:r>
          <a:r>
            <a:rPr lang="zh-CN" altLang="en-US" sz="800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注：数据来源于公司销售系统</a:t>
          </a:r>
        </a:p>
      </cdr:txBody>
    </cdr:sp>
  </cdr:relSizeAnchor>
</c:userShapes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276228</xdr:colOff>
      <xdr:row>2</xdr:row>
      <xdr:rowOff>80962</xdr:rowOff>
    </xdr:from>
    <xdr:to>
      <xdr:col>18</xdr:col>
      <xdr:colOff>542928</xdr:colOff>
      <xdr:row>7</xdr:row>
      <xdr:rowOff>114299</xdr:rowOff>
    </xdr:to>
    <xdr:sp macro="" textlink="">
      <xdr:nvSpPr>
        <xdr:cNvPr id="2" name="椭圆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11287128" y="433387"/>
          <a:ext cx="914400" cy="914400"/>
        </a:xfrm>
        <a:prstGeom prst="ellipse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19050</xdr:colOff>
      <xdr:row>5</xdr:row>
      <xdr:rowOff>128587</xdr:rowOff>
    </xdr:from>
    <xdr:to>
      <xdr:col>16</xdr:col>
      <xdr:colOff>285750</xdr:colOff>
      <xdr:row>10</xdr:row>
      <xdr:rowOff>161925</xdr:rowOff>
    </xdr:to>
    <xdr:sp macro="" textlink="">
      <xdr:nvSpPr>
        <xdr:cNvPr id="10" name="椭圆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9734550" y="1009650"/>
          <a:ext cx="914400" cy="914400"/>
        </a:xfrm>
        <a:prstGeom prst="ellipse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19</xdr:col>
      <xdr:colOff>409576</xdr:colOff>
      <xdr:row>6</xdr:row>
      <xdr:rowOff>61913</xdr:rowOff>
    </xdr:from>
    <xdr:to>
      <xdr:col>21</xdr:col>
      <xdr:colOff>28576</xdr:colOff>
      <xdr:row>11</xdr:row>
      <xdr:rowOff>95250</xdr:rowOff>
    </xdr:to>
    <xdr:sp macro="" textlink="">
      <xdr:nvSpPr>
        <xdr:cNvPr id="11" name="椭圆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12715876" y="1119188"/>
          <a:ext cx="914400" cy="914400"/>
        </a:xfrm>
        <a:prstGeom prst="ellipse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1</xdr:colOff>
      <xdr:row>7</xdr:row>
      <xdr:rowOff>133349</xdr:rowOff>
    </xdr:from>
    <xdr:to>
      <xdr:col>9</xdr:col>
      <xdr:colOff>396901</xdr:colOff>
      <xdr:row>21</xdr:row>
      <xdr:rowOff>6374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295275</xdr:colOff>
      <xdr:row>2</xdr:row>
      <xdr:rowOff>133350</xdr:rowOff>
    </xdr:from>
    <xdr:to>
      <xdr:col>11</xdr:col>
      <xdr:colOff>409581</xdr:colOff>
      <xdr:row>7</xdr:row>
      <xdr:rowOff>157142</xdr:rowOff>
    </xdr:to>
    <xdr:sp macro="" textlink="">
      <xdr:nvSpPr>
        <xdr:cNvPr id="18" name="文本框 11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 txBox="1"/>
      </xdr:nvSpPr>
      <xdr:spPr>
        <a:xfrm>
          <a:off x="8715375" y="485775"/>
          <a:ext cx="4648206" cy="9048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20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2022</a:t>
          </a:r>
          <a:r>
            <a:rPr lang="zh-CN" altLang="en-US" sz="20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年上半年目标完成率</a:t>
          </a:r>
          <a:endParaRPr lang="en-US" altLang="zh-CN" sz="2000" b="1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>
            <a:lnSpc>
              <a:spcPts val="2000"/>
            </a:lnSpc>
          </a:pPr>
          <a:r>
            <a:rPr lang="zh-CN" altLang="en-US" sz="14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截至</a:t>
          </a:r>
          <a:r>
            <a:rPr lang="en-US" altLang="zh-CN" sz="14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6</a:t>
          </a:r>
          <a:r>
            <a:rPr lang="zh-CN" altLang="en-US" sz="14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月</a:t>
          </a:r>
          <a:r>
            <a:rPr lang="en-US" altLang="zh-CN" sz="14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30</a:t>
          </a:r>
          <a:r>
            <a:rPr lang="zh-CN" altLang="en-US" sz="14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日销售目标总体完成率达到</a:t>
          </a:r>
          <a:r>
            <a:rPr lang="en-US" altLang="zh-CN" sz="14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65%</a:t>
          </a:r>
          <a:endParaRPr lang="zh-CN" altLang="en-US" sz="1200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4</xdr:col>
      <xdr:colOff>228600</xdr:colOff>
      <xdr:row>22</xdr:row>
      <xdr:rowOff>4762</xdr:rowOff>
    </xdr:from>
    <xdr:to>
      <xdr:col>10</xdr:col>
      <xdr:colOff>495297</xdr:colOff>
      <xdr:row>23</xdr:row>
      <xdr:rowOff>80999</xdr:rowOff>
    </xdr:to>
    <xdr:sp macro="" textlink="">
      <xdr:nvSpPr>
        <xdr:cNvPr id="19" name="文本框 12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 txBox="1"/>
      </xdr:nvSpPr>
      <xdr:spPr>
        <a:xfrm>
          <a:off x="4762500" y="3881437"/>
          <a:ext cx="4152897" cy="252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800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*</a:t>
          </a:r>
          <a:r>
            <a:rPr lang="zh-CN" altLang="en-US" sz="800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注：数据来源于公司销售系统</a:t>
          </a:r>
        </a:p>
      </xdr:txBody>
    </xdr:sp>
    <xdr:clientData/>
  </xdr:twoCellAnchor>
</xdr:wsDr>
</file>

<file path=xl/drawings/drawing29.xml><?xml version="1.0" encoding="utf-8"?>
<c:userShapes xmlns:c="http://schemas.openxmlformats.org/drawingml/2006/chart">
  <cdr:relSizeAnchor xmlns:cdr="http://schemas.openxmlformats.org/drawingml/2006/chartDrawing">
    <cdr:from>
      <cdr:x>0.02404</cdr:x>
      <cdr:y>0.0302</cdr:y>
    </cdr:from>
    <cdr:to>
      <cdr:x>0.96898</cdr:x>
      <cdr:y>0.97514</cdr:y>
    </cdr:to>
    <cdr:sp macro="" textlink="">
      <cdr:nvSpPr>
        <cdr:cNvPr id="2" name="椭圆 1">
          <a:extLst xmlns:a="http://schemas.openxmlformats.org/drawingml/2006/main">
            <a:ext uri="{FF2B5EF4-FFF2-40B4-BE49-F238E27FC236}">
              <a16:creationId xmlns:a16="http://schemas.microsoft.com/office/drawing/2014/main" id="{62AD663A-885E-4ED5-98F2-EE849AE7B079}"/>
            </a:ext>
          </a:extLst>
        </cdr:cNvPr>
        <cdr:cNvSpPr/>
      </cdr:nvSpPr>
      <cdr:spPr>
        <a:xfrm xmlns:a="http://schemas.openxmlformats.org/drawingml/2006/main">
          <a:off x="56250" y="70660"/>
          <a:ext cx="2211161" cy="2211161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 w="22225">
          <a:solidFill>
            <a:srgbClr val="0070C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zh-CN" altLang="en-US" sz="1100"/>
        </a:p>
      </cdr:txBody>
    </cdr:sp>
  </cdr:relSizeAnchor>
  <cdr:relSizeAnchor xmlns:cdr="http://schemas.openxmlformats.org/drawingml/2006/chartDrawing">
    <cdr:from>
      <cdr:x>0.23813</cdr:x>
      <cdr:y>0.3742</cdr:y>
    </cdr:from>
    <cdr:to>
      <cdr:x>0.79753</cdr:x>
      <cdr:y>0.5783</cdr:y>
    </cdr:to>
    <cdr:sp macro="" textlink="">
      <cdr:nvSpPr>
        <cdr:cNvPr id="3" name="文本框 2">
          <a:extLst xmlns:a="http://schemas.openxmlformats.org/drawingml/2006/main">
            <a:ext uri="{FF2B5EF4-FFF2-40B4-BE49-F238E27FC236}">
              <a16:creationId xmlns:a16="http://schemas.microsoft.com/office/drawing/2014/main" id="{67289FF6-7650-5259-EA14-DBD88386E09B}"/>
            </a:ext>
          </a:extLst>
        </cdr:cNvPr>
        <cdr:cNvSpPr txBox="1"/>
      </cdr:nvSpPr>
      <cdr:spPr>
        <a:xfrm xmlns:a="http://schemas.openxmlformats.org/drawingml/2006/main">
          <a:off x="600075" y="942976"/>
          <a:ext cx="1409700" cy="5143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altLang="zh-CN" sz="4000">
              <a:solidFill>
                <a:schemeClr val="bg1"/>
              </a:solidFill>
            </a:rPr>
            <a:t>65%</a:t>
          </a:r>
          <a:endParaRPr lang="zh-CN" altLang="en-US" sz="4000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elvs-my.sharepoint.com/personal/b3537_sky365_top/Documents/&#26700;&#38754;/Excel&#21160;&#24577;&#22270;&#34920;&#31995;&#2101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动态带平均值"/>
      <sheetName val="动态滑珠图 (2)"/>
      <sheetName val="动态前N名 (2)"/>
      <sheetName val="两个维度动态图表"/>
      <sheetName val="COUNTIFS"/>
      <sheetName val="高级动态图表"/>
      <sheetName val="动态前N名"/>
      <sheetName val="自动排序"/>
      <sheetName val="选择线条"/>
      <sheetName val="动态文本"/>
      <sheetName val="Sheet1"/>
      <sheetName val="动态滑珠图"/>
    </sheetNames>
    <sheetDataSet>
      <sheetData sheetId="0" refreshError="1"/>
      <sheetData sheetId="1" refreshError="1"/>
      <sheetData sheetId="2">
        <row r="2">
          <cell r="C2" t="str">
            <v>销量</v>
          </cell>
        </row>
        <row r="5">
          <cell r="E5">
            <v>24</v>
          </cell>
        </row>
      </sheetData>
      <sheetData sheetId="3" refreshError="1"/>
      <sheetData sheetId="4" refreshError="1"/>
      <sheetData sheetId="5" refreshError="1"/>
      <sheetData sheetId="6">
        <row r="2">
          <cell r="G2" t="str">
            <v>销量</v>
          </cell>
        </row>
        <row r="10">
          <cell r="D10">
            <v>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>
        <row r="20">
          <cell r="C20" t="str">
            <v>完成率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8"/>
  <sheetViews>
    <sheetView tabSelected="1" workbookViewId="0">
      <selection activeCell="B20" sqref="B20"/>
    </sheetView>
  </sheetViews>
  <sheetFormatPr defaultRowHeight="13.9" x14ac:dyDescent="0.4"/>
  <sheetData>
    <row r="1" spans="2:5" x14ac:dyDescent="0.4">
      <c r="E1" t="s">
        <v>8</v>
      </c>
    </row>
    <row r="2" spans="2:5" x14ac:dyDescent="0.4">
      <c r="B2" s="23" t="s">
        <v>0</v>
      </c>
      <c r="C2" s="23" t="s">
        <v>1</v>
      </c>
    </row>
    <row r="3" spans="2:5" x14ac:dyDescent="0.4">
      <c r="B3" s="12" t="s">
        <v>2</v>
      </c>
      <c r="C3" s="12">
        <v>2354</v>
      </c>
    </row>
    <row r="4" spans="2:5" x14ac:dyDescent="0.4">
      <c r="B4" s="12" t="s">
        <v>3</v>
      </c>
      <c r="C4" s="12">
        <v>1902</v>
      </c>
    </row>
    <row r="5" spans="2:5" x14ac:dyDescent="0.4">
      <c r="B5" s="12" t="s">
        <v>4</v>
      </c>
      <c r="C5" s="12">
        <v>3524</v>
      </c>
    </row>
    <row r="6" spans="2:5" x14ac:dyDescent="0.4">
      <c r="B6" s="12" t="s">
        <v>5</v>
      </c>
      <c r="C6" s="12">
        <v>2698</v>
      </c>
    </row>
    <row r="7" spans="2:5" x14ac:dyDescent="0.4">
      <c r="B7" s="12" t="s">
        <v>6</v>
      </c>
      <c r="C7" s="12">
        <v>2896</v>
      </c>
    </row>
    <row r="8" spans="2:5" x14ac:dyDescent="0.4">
      <c r="B8" s="12" t="s">
        <v>7</v>
      </c>
      <c r="C8" s="12">
        <v>2563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58144-D097-487C-AEBB-55383F9D25F7}">
  <dimension ref="B2:O11"/>
  <sheetViews>
    <sheetView workbookViewId="0">
      <selection activeCell="B3" sqref="B3:B8"/>
    </sheetView>
  </sheetViews>
  <sheetFormatPr defaultRowHeight="13.9" customHeight="1" x14ac:dyDescent="0.4"/>
  <cols>
    <col min="4" max="4" width="9.06640625" customWidth="1"/>
  </cols>
  <sheetData>
    <row r="2" spans="2:15" ht="13.9" customHeight="1" x14ac:dyDescent="0.4">
      <c r="B2" s="23" t="s">
        <v>0</v>
      </c>
      <c r="C2" s="23" t="s">
        <v>1</v>
      </c>
      <c r="D2" s="23" t="s">
        <v>14</v>
      </c>
      <c r="E2" s="41" t="s">
        <v>16</v>
      </c>
    </row>
    <row r="3" spans="2:15" ht="13.9" customHeight="1" x14ac:dyDescent="0.4">
      <c r="B3" s="12" t="s">
        <v>2</v>
      </c>
      <c r="C3" s="12">
        <v>2354</v>
      </c>
      <c r="D3" s="42">
        <f>AVERAGE($C$3:$C$8)</f>
        <v>2656.1666666666665</v>
      </c>
      <c r="E3" s="43" t="s">
        <v>15</v>
      </c>
    </row>
    <row r="4" spans="2:15" ht="13.9" customHeight="1" x14ac:dyDescent="0.4">
      <c r="B4" s="12" t="s">
        <v>3</v>
      </c>
      <c r="C4" s="12">
        <v>1902</v>
      </c>
      <c r="D4" s="42">
        <f t="shared" ref="D4:D8" si="0">AVERAGE($C$3:$C$8)</f>
        <v>2656.1666666666665</v>
      </c>
      <c r="E4" s="44"/>
    </row>
    <row r="5" spans="2:15" ht="13.9" customHeight="1" x14ac:dyDescent="0.4">
      <c r="B5" s="12" t="s">
        <v>4</v>
      </c>
      <c r="C5" s="12">
        <v>3524</v>
      </c>
      <c r="D5" s="42">
        <f t="shared" si="0"/>
        <v>2656.1666666666665</v>
      </c>
      <c r="E5" s="44"/>
    </row>
    <row r="6" spans="2:15" ht="13.9" customHeight="1" x14ac:dyDescent="0.4">
      <c r="B6" s="12" t="s">
        <v>5</v>
      </c>
      <c r="C6" s="12">
        <v>2698</v>
      </c>
      <c r="D6" s="42">
        <f t="shared" si="0"/>
        <v>2656.1666666666665</v>
      </c>
      <c r="E6" s="44"/>
    </row>
    <row r="7" spans="2:15" ht="13.9" customHeight="1" x14ac:dyDescent="0.4">
      <c r="B7" s="12" t="s">
        <v>6</v>
      </c>
      <c r="C7" s="12">
        <v>2896</v>
      </c>
      <c r="D7" s="42">
        <f t="shared" si="0"/>
        <v>2656.1666666666665</v>
      </c>
      <c r="E7" s="44"/>
    </row>
    <row r="8" spans="2:15" ht="13.9" customHeight="1" x14ac:dyDescent="0.4">
      <c r="B8" s="12" t="s">
        <v>7</v>
      </c>
      <c r="C8" s="12">
        <v>2563</v>
      </c>
      <c r="D8" s="42">
        <f t="shared" si="0"/>
        <v>2656.1666666666665</v>
      </c>
      <c r="E8" s="44"/>
    </row>
    <row r="11" spans="2:15" ht="13.9" customHeight="1" x14ac:dyDescent="0.4">
      <c r="O11" t="s">
        <v>17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C92B5-F8F5-4971-B02C-437B365260A3}">
  <dimension ref="B2:C8"/>
  <sheetViews>
    <sheetView workbookViewId="0">
      <selection activeCell="G34" sqref="G34"/>
    </sheetView>
  </sheetViews>
  <sheetFormatPr defaultRowHeight="13.9" x14ac:dyDescent="0.4"/>
  <sheetData>
    <row r="2" spans="2:3" x14ac:dyDescent="0.4">
      <c r="B2" s="23" t="s">
        <v>30</v>
      </c>
      <c r="C2" s="23" t="s">
        <v>79</v>
      </c>
    </row>
    <row r="3" spans="2:3" x14ac:dyDescent="0.4">
      <c r="B3" s="12" t="s">
        <v>19</v>
      </c>
      <c r="C3" s="12">
        <v>653</v>
      </c>
    </row>
    <row r="4" spans="2:3" x14ac:dyDescent="0.4">
      <c r="B4" s="12" t="s">
        <v>20</v>
      </c>
      <c r="C4" s="12">
        <v>523</v>
      </c>
    </row>
    <row r="5" spans="2:3" x14ac:dyDescent="0.4">
      <c r="B5" s="12" t="s">
        <v>21</v>
      </c>
      <c r="C5" s="12">
        <v>648</v>
      </c>
    </row>
    <row r="6" spans="2:3" x14ac:dyDescent="0.4">
      <c r="B6" s="12" t="s">
        <v>22</v>
      </c>
      <c r="C6" s="12">
        <v>856</v>
      </c>
    </row>
    <row r="7" spans="2:3" x14ac:dyDescent="0.4">
      <c r="B7" s="12" t="s">
        <v>23</v>
      </c>
      <c r="C7" s="12">
        <v>714</v>
      </c>
    </row>
    <row r="8" spans="2:3" x14ac:dyDescent="0.4">
      <c r="B8" s="12" t="s">
        <v>24</v>
      </c>
      <c r="C8" s="12">
        <v>785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5C744-52D8-46E3-8579-CD6AEFF0EBC5}">
  <dimension ref="B2:G11"/>
  <sheetViews>
    <sheetView workbookViewId="0">
      <selection activeCell="B2" sqref="B2:C10"/>
    </sheetView>
  </sheetViews>
  <sheetFormatPr defaultRowHeight="13.9" x14ac:dyDescent="0.4"/>
  <sheetData>
    <row r="2" spans="2:7" x14ac:dyDescent="0.4">
      <c r="B2" s="23" t="s">
        <v>86</v>
      </c>
      <c r="C2" s="23" t="s">
        <v>85</v>
      </c>
    </row>
    <row r="3" spans="2:7" x14ac:dyDescent="0.4">
      <c r="B3" s="12" t="s">
        <v>52</v>
      </c>
      <c r="C3" s="12">
        <v>9221</v>
      </c>
    </row>
    <row r="4" spans="2:7" x14ac:dyDescent="0.4">
      <c r="B4" s="12" t="s">
        <v>51</v>
      </c>
      <c r="C4" s="12">
        <v>5102</v>
      </c>
    </row>
    <row r="5" spans="2:7" x14ac:dyDescent="0.4">
      <c r="B5" s="12" t="s">
        <v>50</v>
      </c>
      <c r="C5" s="12">
        <v>6571</v>
      </c>
    </row>
    <row r="6" spans="2:7" x14ac:dyDescent="0.4">
      <c r="B6" s="12" t="s">
        <v>49</v>
      </c>
      <c r="C6" s="12">
        <v>5760</v>
      </c>
    </row>
    <row r="7" spans="2:7" x14ac:dyDescent="0.4">
      <c r="B7" s="12" t="s">
        <v>48</v>
      </c>
      <c r="C7" s="12">
        <v>6321</v>
      </c>
    </row>
    <row r="8" spans="2:7" x14ac:dyDescent="0.4">
      <c r="B8" s="12" t="s">
        <v>82</v>
      </c>
      <c r="C8" s="12">
        <v>8612</v>
      </c>
    </row>
    <row r="9" spans="2:7" x14ac:dyDescent="0.4">
      <c r="B9" s="12" t="s">
        <v>83</v>
      </c>
      <c r="C9" s="24">
        <v>2645</v>
      </c>
    </row>
    <row r="10" spans="2:7" x14ac:dyDescent="0.4">
      <c r="B10" s="12" t="s">
        <v>84</v>
      </c>
      <c r="C10" s="24">
        <v>5321</v>
      </c>
    </row>
    <row r="11" spans="2:7" x14ac:dyDescent="0.4">
      <c r="G11" s="1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8BFC0-654A-4639-BDA4-7226072C3741}">
  <dimension ref="B2:D9"/>
  <sheetViews>
    <sheetView workbookViewId="0">
      <selection activeCell="S25" sqref="S25"/>
    </sheetView>
  </sheetViews>
  <sheetFormatPr defaultRowHeight="13.9" x14ac:dyDescent="0.4"/>
  <sheetData>
    <row r="2" spans="2:4" x14ac:dyDescent="0.4">
      <c r="B2" s="8" t="s">
        <v>77</v>
      </c>
      <c r="C2" s="8" t="s">
        <v>76</v>
      </c>
      <c r="D2" s="8" t="s">
        <v>75</v>
      </c>
    </row>
    <row r="3" spans="2:4" x14ac:dyDescent="0.4">
      <c r="B3" s="9" t="s">
        <v>74</v>
      </c>
      <c r="C3" s="10">
        <v>3121</v>
      </c>
      <c r="D3" s="10">
        <v>1020</v>
      </c>
    </row>
    <row r="4" spans="2:4" x14ac:dyDescent="0.4">
      <c r="B4" s="9" t="s">
        <v>70</v>
      </c>
      <c r="C4" s="10">
        <v>4086</v>
      </c>
      <c r="D4" s="10">
        <v>1421</v>
      </c>
    </row>
    <row r="5" spans="2:4" x14ac:dyDescent="0.4">
      <c r="B5" s="9" t="s">
        <v>73</v>
      </c>
      <c r="C5" s="10">
        <v>4321</v>
      </c>
      <c r="D5" s="10">
        <v>1502</v>
      </c>
    </row>
    <row r="6" spans="2:4" x14ac:dyDescent="0.4">
      <c r="B6" s="9" t="s">
        <v>72</v>
      </c>
      <c r="C6" s="10">
        <v>4601</v>
      </c>
      <c r="D6" s="10">
        <v>1623</v>
      </c>
    </row>
    <row r="7" spans="2:4" x14ac:dyDescent="0.4">
      <c r="B7" s="9" t="s">
        <v>71</v>
      </c>
      <c r="C7" s="10">
        <v>4936</v>
      </c>
      <c r="D7" s="10">
        <v>1781</v>
      </c>
    </row>
    <row r="8" spans="2:4" x14ac:dyDescent="0.4">
      <c r="B8" s="12" t="s">
        <v>70</v>
      </c>
      <c r="C8" s="12">
        <v>4231</v>
      </c>
      <c r="D8" s="10">
        <v>1432</v>
      </c>
    </row>
    <row r="9" spans="2:4" x14ac:dyDescent="0.4">
      <c r="D9" s="13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51D3E-7528-47B5-873B-7F9432C3BA08}">
  <dimension ref="B2:F7"/>
  <sheetViews>
    <sheetView workbookViewId="0">
      <selection activeCell="I36" sqref="I36"/>
    </sheetView>
  </sheetViews>
  <sheetFormatPr defaultRowHeight="13.9" x14ac:dyDescent="0.4"/>
  <sheetData>
    <row r="2" spans="2:6" x14ac:dyDescent="0.4">
      <c r="B2" s="8" t="s">
        <v>78</v>
      </c>
      <c r="C2" s="8" t="s">
        <v>45</v>
      </c>
      <c r="D2" s="8" t="s">
        <v>80</v>
      </c>
      <c r="E2" s="8" t="s">
        <v>46</v>
      </c>
      <c r="F2" s="8" t="s">
        <v>81</v>
      </c>
    </row>
    <row r="3" spans="2:6" x14ac:dyDescent="0.4">
      <c r="B3" s="9" t="s">
        <v>7</v>
      </c>
      <c r="C3" s="15">
        <f>$D$3+$D$7-D3</f>
        <v>2238</v>
      </c>
      <c r="D3" s="15">
        <v>1215</v>
      </c>
      <c r="E3" s="15">
        <v>1215</v>
      </c>
      <c r="F3" s="15">
        <v>1003</v>
      </c>
    </row>
    <row r="4" spans="2:6" x14ac:dyDescent="0.4">
      <c r="B4" s="9" t="s">
        <v>5</v>
      </c>
      <c r="C4" s="15">
        <f>$D$3+$D$7-D4</f>
        <v>2132</v>
      </c>
      <c r="D4" s="15">
        <v>1321</v>
      </c>
      <c r="E4" s="15">
        <v>1215</v>
      </c>
      <c r="F4" s="15">
        <v>1265</v>
      </c>
    </row>
    <row r="5" spans="2:6" x14ac:dyDescent="0.4">
      <c r="B5" s="9" t="s">
        <v>4</v>
      </c>
      <c r="C5" s="15">
        <f>$D$3+$D$7-D5</f>
        <v>2027</v>
      </c>
      <c r="D5" s="15">
        <v>1426</v>
      </c>
      <c r="E5" s="15">
        <v>1215</v>
      </c>
      <c r="F5" s="15">
        <v>1531</v>
      </c>
    </row>
    <row r="6" spans="2:6" x14ac:dyDescent="0.4">
      <c r="B6" s="9" t="s">
        <v>2</v>
      </c>
      <c r="C6" s="15">
        <f>$D$3+$D$7-D6</f>
        <v>1922</v>
      </c>
      <c r="D6" s="15">
        <v>1531</v>
      </c>
      <c r="E6" s="15">
        <v>1215</v>
      </c>
      <c r="F6" s="15">
        <v>1436</v>
      </c>
    </row>
    <row r="7" spans="2:6" x14ac:dyDescent="0.4">
      <c r="B7" s="15" t="s">
        <v>3</v>
      </c>
      <c r="C7" s="15">
        <f>$D$3+$D$7-D7</f>
        <v>1215</v>
      </c>
      <c r="D7" s="15">
        <v>2238</v>
      </c>
      <c r="E7" s="15">
        <v>1215</v>
      </c>
      <c r="F7" s="15">
        <v>2066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97BCA-3639-451B-8109-902B9731BB27}">
  <dimension ref="B2:U22"/>
  <sheetViews>
    <sheetView workbookViewId="0">
      <selection activeCell="O23" sqref="O23"/>
    </sheetView>
  </sheetViews>
  <sheetFormatPr defaultRowHeight="13.9" x14ac:dyDescent="0.4"/>
  <cols>
    <col min="17" max="17" width="9.06640625" customWidth="1"/>
    <col min="18" max="18" width="15.33203125" customWidth="1"/>
    <col min="20" max="20" width="17.86328125" customWidth="1"/>
  </cols>
  <sheetData>
    <row r="2" spans="2:21" x14ac:dyDescent="0.4">
      <c r="B2" s="8" t="s">
        <v>78</v>
      </c>
      <c r="C2" s="8" t="s">
        <v>41</v>
      </c>
      <c r="D2" s="8" t="s">
        <v>42</v>
      </c>
      <c r="Q2" s="28"/>
      <c r="R2" s="28"/>
      <c r="S2" s="28"/>
      <c r="T2" s="28"/>
      <c r="U2" s="28"/>
    </row>
    <row r="3" spans="2:21" x14ac:dyDescent="0.4">
      <c r="B3" s="9" t="s">
        <v>7</v>
      </c>
      <c r="C3" s="19">
        <v>0.36</v>
      </c>
      <c r="D3" s="19">
        <v>0.42</v>
      </c>
      <c r="H3" s="34" t="str">
        <f>REPT("|",C3*200)</f>
        <v>||||||||||||||||||||||||||||||||||||||||||||||||||||||||||||||||||||||||</v>
      </c>
      <c r="J3" t="str">
        <f t="shared" ref="J3:J8" si="0">REPT("|",D3*200)</f>
        <v>||||||||||||||||||||||||||||||||||||||||||||||||||||||||||||||||||||||||||||||||||||</v>
      </c>
      <c r="Q3" s="28"/>
      <c r="R3" s="28"/>
      <c r="S3" s="28"/>
      <c r="T3" s="28"/>
      <c r="U3" s="28"/>
    </row>
    <row r="4" spans="2:21" x14ac:dyDescent="0.4">
      <c r="B4" s="9" t="s">
        <v>5</v>
      </c>
      <c r="C4" s="19">
        <v>0.31</v>
      </c>
      <c r="D4" s="19">
        <v>0.26</v>
      </c>
      <c r="H4" s="34" t="str">
        <f>REPT("|",C4*200)</f>
        <v>||||||||||||||||||||||||||||||||||||||||||||||||||||||||||||||</v>
      </c>
      <c r="J4" t="str">
        <f t="shared" si="0"/>
        <v>||||||||||||||||||||||||||||||||||||||||||||||||||||</v>
      </c>
      <c r="Q4" s="28"/>
      <c r="R4" s="28"/>
      <c r="S4" s="28"/>
      <c r="T4" s="28"/>
      <c r="U4" s="28"/>
    </row>
    <row r="5" spans="2:21" x14ac:dyDescent="0.4">
      <c r="B5" s="9" t="s">
        <v>4</v>
      </c>
      <c r="C5" s="19">
        <v>0.18</v>
      </c>
      <c r="D5" s="19">
        <v>0.19</v>
      </c>
      <c r="H5" s="34" t="str">
        <f>REPT("|",C5*200)</f>
        <v>||||||||||||||||||||||||||||||||||||</v>
      </c>
      <c r="J5" t="str">
        <f t="shared" si="0"/>
        <v>||||||||||||||||||||||||||||||||||||||</v>
      </c>
      <c r="Q5" s="28"/>
      <c r="R5" s="28"/>
      <c r="S5" s="28"/>
      <c r="T5" s="28"/>
      <c r="U5" s="28"/>
    </row>
    <row r="6" spans="2:21" x14ac:dyDescent="0.4">
      <c r="B6" s="9" t="s">
        <v>2</v>
      </c>
      <c r="C6" s="19">
        <v>0.13</v>
      </c>
      <c r="D6" s="19">
        <v>0.12</v>
      </c>
      <c r="H6" s="34" t="str">
        <f>REPT("|",C6*200)</f>
        <v>||||||||||||||||||||||||||</v>
      </c>
      <c r="J6" t="str">
        <f t="shared" si="0"/>
        <v>||||||||||||||||||||||||</v>
      </c>
      <c r="Q6" s="28"/>
      <c r="R6" s="28"/>
      <c r="S6" s="28"/>
      <c r="T6" s="28"/>
      <c r="U6" s="28"/>
    </row>
    <row r="7" spans="2:21" ht="15.75" x14ac:dyDescent="0.5">
      <c r="B7" s="15" t="s">
        <v>3</v>
      </c>
      <c r="C7" s="19">
        <v>0.09</v>
      </c>
      <c r="D7" s="19">
        <v>0.05</v>
      </c>
      <c r="H7" s="34" t="str">
        <f>REPT("|",C7*200)</f>
        <v>||||||||||||||||||</v>
      </c>
      <c r="J7" t="str">
        <f t="shared" si="0"/>
        <v>||||||||||</v>
      </c>
      <c r="Q7" s="38">
        <v>0.36</v>
      </c>
      <c r="R7" s="29" t="str">
        <f>REPT("|",C3*200)</f>
        <v>||||||||||||||||||||||||||||||||||||||||||||||||||||||||||||||||||||||||</v>
      </c>
      <c r="S7" s="39" t="s">
        <v>7</v>
      </c>
      <c r="T7" s="31" t="str">
        <f>REPT("|",D3*200)</f>
        <v>||||||||||||||||||||||||||||||||||||||||||||||||||||||||||||||||||||||||||||||||||||</v>
      </c>
      <c r="U7" s="40">
        <v>0.42</v>
      </c>
    </row>
    <row r="8" spans="2:21" ht="15.75" x14ac:dyDescent="0.5">
      <c r="J8" t="str">
        <f t="shared" si="0"/>
        <v/>
      </c>
      <c r="Q8" s="38">
        <v>0.31</v>
      </c>
      <c r="R8" s="29" t="str">
        <f>REPT("|",C4*200)</f>
        <v>||||||||||||||||||||||||||||||||||||||||||||||||||||||||||||||</v>
      </c>
      <c r="S8" s="39" t="s">
        <v>5</v>
      </c>
      <c r="T8" s="31" t="str">
        <f>REPT("|",D4*200)</f>
        <v>||||||||||||||||||||||||||||||||||||||||||||||||||||</v>
      </c>
      <c r="U8" s="40">
        <v>0.26</v>
      </c>
    </row>
    <row r="9" spans="2:21" ht="15.75" x14ac:dyDescent="0.5">
      <c r="Q9" s="38">
        <v>0.18</v>
      </c>
      <c r="R9" s="29" t="str">
        <f>REPT("|",C5*200)</f>
        <v>||||||||||||||||||||||||||||||||||||</v>
      </c>
      <c r="S9" s="39" t="s">
        <v>4</v>
      </c>
      <c r="T9" s="31" t="str">
        <f>REPT("|",D5*200)</f>
        <v>||||||||||||||||||||||||||||||||||||||</v>
      </c>
      <c r="U9" s="40">
        <v>0.19</v>
      </c>
    </row>
    <row r="10" spans="2:21" ht="15.75" x14ac:dyDescent="0.5">
      <c r="Q10" s="38">
        <v>0.13</v>
      </c>
      <c r="R10" s="29" t="str">
        <f>REPT("|",C6*200)</f>
        <v>||||||||||||||||||||||||||</v>
      </c>
      <c r="S10" s="39" t="s">
        <v>2</v>
      </c>
      <c r="T10" s="31" t="str">
        <f>REPT("|",D6*200)</f>
        <v>||||||||||||||||||||||||</v>
      </c>
      <c r="U10" s="40">
        <v>0.12</v>
      </c>
    </row>
    <row r="11" spans="2:21" ht="15.75" x14ac:dyDescent="0.5">
      <c r="Q11" s="38">
        <v>0.09</v>
      </c>
      <c r="R11" s="29" t="str">
        <f>REPT("|",C7*200)</f>
        <v>||||||||||||||||||</v>
      </c>
      <c r="S11" s="39" t="s">
        <v>3</v>
      </c>
      <c r="T11" s="31" t="str">
        <f>REPT("|",D7*200)</f>
        <v>||||||||||</v>
      </c>
      <c r="U11" s="40">
        <v>0.05</v>
      </c>
    </row>
    <row r="12" spans="2:21" ht="15.75" x14ac:dyDescent="0.5">
      <c r="Q12" s="33"/>
      <c r="R12" s="29"/>
      <c r="S12" s="32"/>
      <c r="T12" s="31"/>
      <c r="U12" s="30"/>
    </row>
    <row r="13" spans="2:21" ht="15.75" x14ac:dyDescent="0.5">
      <c r="Q13" s="28"/>
      <c r="R13" s="29" t="str">
        <f>REPT("|",AC13*200)</f>
        <v/>
      </c>
      <c r="S13" s="28"/>
      <c r="T13" s="28"/>
      <c r="U13" s="28"/>
    </row>
    <row r="14" spans="2:21" x14ac:dyDescent="0.4">
      <c r="Q14" s="28"/>
      <c r="R14" s="28"/>
      <c r="S14" s="28"/>
      <c r="T14" s="28"/>
      <c r="U14" s="28"/>
    </row>
    <row r="22" spans="16:16" x14ac:dyDescent="0.4">
      <c r="P22">
        <v>1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316EF-51C3-484C-8CF7-C53CAD479EEE}">
  <dimension ref="B2:F8"/>
  <sheetViews>
    <sheetView workbookViewId="0">
      <selection sqref="A1:XFD1"/>
    </sheetView>
  </sheetViews>
  <sheetFormatPr defaultRowHeight="13.9" x14ac:dyDescent="0.4"/>
  <sheetData>
    <row r="2" spans="2:6" x14ac:dyDescent="0.4">
      <c r="B2" s="8" t="s">
        <v>0</v>
      </c>
      <c r="C2" s="8" t="s">
        <v>40</v>
      </c>
      <c r="D2" s="8" t="s">
        <v>45</v>
      </c>
      <c r="E2" s="8" t="s">
        <v>46</v>
      </c>
      <c r="F2" s="8" t="s">
        <v>47</v>
      </c>
    </row>
    <row r="3" spans="2:6" x14ac:dyDescent="0.4">
      <c r="B3" s="9" t="s">
        <v>2</v>
      </c>
      <c r="C3" s="10">
        <v>4321</v>
      </c>
      <c r="D3" s="10">
        <f t="shared" ref="D3:D8" si="0">MAX($C$3)-C3</f>
        <v>0</v>
      </c>
      <c r="E3" s="10">
        <f t="shared" ref="E3:E8" si="1">MAX($C$3:$C$8)/4</f>
        <v>1080.25</v>
      </c>
      <c r="F3" s="11">
        <v>-0.13600000000000001</v>
      </c>
    </row>
    <row r="4" spans="2:6" x14ac:dyDescent="0.4">
      <c r="B4" s="9" t="s">
        <v>3</v>
      </c>
      <c r="C4" s="10">
        <v>1946</v>
      </c>
      <c r="D4" s="10">
        <f t="shared" si="0"/>
        <v>2375</v>
      </c>
      <c r="E4" s="10">
        <f t="shared" si="1"/>
        <v>1080.25</v>
      </c>
      <c r="F4" s="11">
        <v>-0.20799999999999999</v>
      </c>
    </row>
    <row r="5" spans="2:6" x14ac:dyDescent="0.4">
      <c r="B5" s="9" t="s">
        <v>4</v>
      </c>
      <c r="C5" s="10">
        <v>1536</v>
      </c>
      <c r="D5" s="10">
        <f t="shared" si="0"/>
        <v>2785</v>
      </c>
      <c r="E5" s="10">
        <f t="shared" si="1"/>
        <v>1080.25</v>
      </c>
      <c r="F5" s="11">
        <v>-9.2999999999999999E-2</v>
      </c>
    </row>
    <row r="6" spans="2:6" x14ac:dyDescent="0.4">
      <c r="B6" s="9" t="s">
        <v>5</v>
      </c>
      <c r="C6" s="10">
        <v>1872</v>
      </c>
      <c r="D6" s="10">
        <f t="shared" si="0"/>
        <v>2449</v>
      </c>
      <c r="E6" s="10">
        <f t="shared" si="1"/>
        <v>1080.25</v>
      </c>
      <c r="F6" s="11">
        <v>-0.159</v>
      </c>
    </row>
    <row r="7" spans="2:6" x14ac:dyDescent="0.4">
      <c r="B7" s="9" t="s">
        <v>6</v>
      </c>
      <c r="C7" s="10">
        <v>1369</v>
      </c>
      <c r="D7" s="10">
        <f t="shared" si="0"/>
        <v>2952</v>
      </c>
      <c r="E7" s="10">
        <f t="shared" si="1"/>
        <v>1080.25</v>
      </c>
      <c r="F7" s="11">
        <v>-0.17899999999999999</v>
      </c>
    </row>
    <row r="8" spans="2:6" x14ac:dyDescent="0.4">
      <c r="B8" s="12" t="s">
        <v>7</v>
      </c>
      <c r="C8" s="12">
        <v>2109</v>
      </c>
      <c r="D8" s="10">
        <f t="shared" si="0"/>
        <v>2212</v>
      </c>
      <c r="E8" s="10">
        <f t="shared" si="1"/>
        <v>1080.25</v>
      </c>
      <c r="F8" s="11">
        <v>-5.8000000000000003E-2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87E1D-3DCC-4BC1-9B38-82E05B787D50}">
  <dimension ref="B2:E9"/>
  <sheetViews>
    <sheetView workbookViewId="0">
      <selection activeCell="M33" sqref="M33"/>
    </sheetView>
  </sheetViews>
  <sheetFormatPr defaultRowHeight="13.9" x14ac:dyDescent="0.4"/>
  <sheetData>
    <row r="2" spans="2:5" x14ac:dyDescent="0.4">
      <c r="B2" s="8" t="s">
        <v>30</v>
      </c>
      <c r="C2" s="8" t="s">
        <v>55</v>
      </c>
      <c r="D2" s="8" t="s">
        <v>54</v>
      </c>
      <c r="E2" s="14" t="s">
        <v>53</v>
      </c>
    </row>
    <row r="3" spans="2:5" x14ac:dyDescent="0.4">
      <c r="B3" s="9" t="s">
        <v>52</v>
      </c>
      <c r="C3" s="10">
        <v>3568</v>
      </c>
      <c r="D3" s="10">
        <v>2569</v>
      </c>
      <c r="E3" s="10">
        <f>C3-D3</f>
        <v>999</v>
      </c>
    </row>
    <row r="4" spans="2:5" x14ac:dyDescent="0.4">
      <c r="B4" s="9" t="s">
        <v>51</v>
      </c>
      <c r="C4" s="10">
        <v>4135</v>
      </c>
      <c r="D4" s="10">
        <v>3241</v>
      </c>
      <c r="E4" s="10">
        <f>C4-D4</f>
        <v>894</v>
      </c>
    </row>
    <row r="5" spans="2:5" x14ac:dyDescent="0.4">
      <c r="B5" s="9" t="s">
        <v>50</v>
      </c>
      <c r="C5" s="10">
        <v>4436</v>
      </c>
      <c r="D5" s="10">
        <v>2965</v>
      </c>
      <c r="E5" s="10">
        <f>C5-D5</f>
        <v>1471</v>
      </c>
    </row>
    <row r="6" spans="2:5" x14ac:dyDescent="0.4">
      <c r="B6" s="9" t="s">
        <v>49</v>
      </c>
      <c r="C6" s="10">
        <v>4106</v>
      </c>
      <c r="D6" s="10">
        <v>3209</v>
      </c>
      <c r="E6" s="10">
        <f>C6-D6</f>
        <v>897</v>
      </c>
    </row>
    <row r="7" spans="2:5" x14ac:dyDescent="0.4">
      <c r="B7" s="15" t="s">
        <v>48</v>
      </c>
      <c r="C7" s="10">
        <v>4936</v>
      </c>
      <c r="D7" s="10">
        <v>3541</v>
      </c>
      <c r="E7" s="10">
        <f>C7-D7</f>
        <v>1395</v>
      </c>
    </row>
    <row r="8" spans="2:5" x14ac:dyDescent="0.4">
      <c r="B8" s="1"/>
      <c r="C8" s="1"/>
      <c r="D8" s="13"/>
    </row>
    <row r="9" spans="2:5" x14ac:dyDescent="0.4">
      <c r="D9" s="13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D1A48-E548-4800-BA41-1B5746243D74}">
  <dimension ref="B3:G10"/>
  <sheetViews>
    <sheetView workbookViewId="0">
      <selection activeCell="N31" sqref="N31"/>
    </sheetView>
  </sheetViews>
  <sheetFormatPr defaultRowHeight="13.9" x14ac:dyDescent="0.4"/>
  <cols>
    <col min="3" max="3" width="8.9296875" bestFit="1" customWidth="1"/>
  </cols>
  <sheetData>
    <row r="3" spans="2:7" x14ac:dyDescent="0.4">
      <c r="B3" s="16" t="s">
        <v>68</v>
      </c>
      <c r="C3" s="35" t="s">
        <v>67</v>
      </c>
      <c r="D3" s="16" t="s">
        <v>66</v>
      </c>
      <c r="E3" s="17" t="s">
        <v>65</v>
      </c>
      <c r="F3" s="18" t="s">
        <v>64</v>
      </c>
      <c r="G3" s="17" t="s">
        <v>63</v>
      </c>
    </row>
    <row r="4" spans="2:7" x14ac:dyDescent="0.4">
      <c r="B4" s="9" t="s">
        <v>62</v>
      </c>
      <c r="C4" s="36">
        <v>44621</v>
      </c>
      <c r="D4" s="10">
        <v>11</v>
      </c>
      <c r="E4" s="19">
        <v>0.51</v>
      </c>
      <c r="F4" s="20">
        <v>5.61</v>
      </c>
      <c r="G4" s="21">
        <v>44632</v>
      </c>
    </row>
    <row r="5" spans="2:7" x14ac:dyDescent="0.4">
      <c r="B5" s="9" t="s">
        <v>61</v>
      </c>
      <c r="C5" s="36">
        <v>44633</v>
      </c>
      <c r="D5" s="10">
        <v>8</v>
      </c>
      <c r="E5" s="19">
        <v>0.32</v>
      </c>
      <c r="F5" s="20">
        <v>2.56</v>
      </c>
      <c r="G5" s="21">
        <v>44641</v>
      </c>
    </row>
    <row r="6" spans="2:7" x14ac:dyDescent="0.4">
      <c r="B6" s="9" t="s">
        <v>60</v>
      </c>
      <c r="C6" s="36">
        <v>44642</v>
      </c>
      <c r="D6" s="10">
        <v>10</v>
      </c>
      <c r="E6" s="19">
        <v>0.21</v>
      </c>
      <c r="F6" s="20">
        <v>2.1</v>
      </c>
      <c r="G6" s="21">
        <v>44652</v>
      </c>
    </row>
    <row r="7" spans="2:7" x14ac:dyDescent="0.4">
      <c r="B7" s="9" t="s">
        <v>59</v>
      </c>
      <c r="C7" s="36">
        <v>44653</v>
      </c>
      <c r="D7" s="10">
        <v>13</v>
      </c>
      <c r="E7" s="19">
        <v>0.85</v>
      </c>
      <c r="F7" s="20">
        <v>11.049999999999999</v>
      </c>
      <c r="G7" s="21">
        <v>44666</v>
      </c>
    </row>
    <row r="8" spans="2:7" x14ac:dyDescent="0.4">
      <c r="B8" s="9" t="s">
        <v>58</v>
      </c>
      <c r="C8" s="36">
        <v>44667</v>
      </c>
      <c r="D8" s="10">
        <v>24</v>
      </c>
      <c r="E8" s="19">
        <v>0.36</v>
      </c>
      <c r="F8" s="20">
        <v>8.64</v>
      </c>
      <c r="G8" s="21">
        <v>44691</v>
      </c>
    </row>
    <row r="9" spans="2:7" x14ac:dyDescent="0.4">
      <c r="B9" s="12" t="s">
        <v>57</v>
      </c>
      <c r="C9" s="37">
        <v>44692</v>
      </c>
      <c r="D9" s="10">
        <v>14</v>
      </c>
      <c r="E9" s="19">
        <v>0.68</v>
      </c>
      <c r="F9" s="20">
        <v>9.5200000000000014</v>
      </c>
      <c r="G9" s="21">
        <v>44706</v>
      </c>
    </row>
    <row r="10" spans="2:7" x14ac:dyDescent="0.4">
      <c r="B10" s="12" t="s">
        <v>56</v>
      </c>
      <c r="C10" s="37">
        <v>44707</v>
      </c>
      <c r="D10" s="12">
        <v>7</v>
      </c>
      <c r="E10" s="22">
        <v>0.68</v>
      </c>
      <c r="F10" s="12">
        <v>4.7600000000000007</v>
      </c>
      <c r="G10" s="21">
        <v>44714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52078-A221-469B-8645-D50AA0C4D2E6}">
  <dimension ref="B2:D13"/>
  <sheetViews>
    <sheetView workbookViewId="0">
      <selection activeCell="K15" sqref="K15"/>
    </sheetView>
  </sheetViews>
  <sheetFormatPr defaultRowHeight="13.9" x14ac:dyDescent="0.4"/>
  <sheetData>
    <row r="2" spans="2:4" x14ac:dyDescent="0.4">
      <c r="B2" s="23" t="s">
        <v>33</v>
      </c>
      <c r="C2" s="23" t="s">
        <v>18</v>
      </c>
      <c r="D2" s="23" t="s">
        <v>40</v>
      </c>
    </row>
    <row r="3" spans="2:4" x14ac:dyDescent="0.4">
      <c r="B3" s="9">
        <v>2021</v>
      </c>
      <c r="C3" s="12" t="s">
        <v>34</v>
      </c>
      <c r="D3" s="12">
        <v>146</v>
      </c>
    </row>
    <row r="4" spans="2:4" x14ac:dyDescent="0.4">
      <c r="B4" s="9">
        <v>2021</v>
      </c>
      <c r="C4" s="12" t="s">
        <v>27</v>
      </c>
      <c r="D4" s="12">
        <v>198</v>
      </c>
    </row>
    <row r="5" spans="2:4" x14ac:dyDescent="0.4">
      <c r="B5" s="9">
        <v>2021</v>
      </c>
      <c r="C5" s="12" t="s">
        <v>28</v>
      </c>
      <c r="D5" s="12">
        <v>296</v>
      </c>
    </row>
    <row r="6" spans="2:4" x14ac:dyDescent="0.4">
      <c r="B6" s="9">
        <v>2021</v>
      </c>
      <c r="C6" s="12" t="s">
        <v>29</v>
      </c>
      <c r="D6" s="12">
        <v>412</v>
      </c>
    </row>
    <row r="7" spans="2:4" x14ac:dyDescent="0.4">
      <c r="B7" s="9">
        <v>2021</v>
      </c>
      <c r="C7" s="12" t="s">
        <v>31</v>
      </c>
      <c r="D7" s="12">
        <v>506</v>
      </c>
    </row>
    <row r="8" spans="2:4" x14ac:dyDescent="0.4">
      <c r="B8" s="9">
        <v>2021</v>
      </c>
      <c r="C8" s="12" t="s">
        <v>32</v>
      </c>
      <c r="D8" s="12">
        <v>615</v>
      </c>
    </row>
    <row r="9" spans="2:4" x14ac:dyDescent="0.4">
      <c r="B9" s="9">
        <v>2021</v>
      </c>
      <c r="C9" s="12" t="s">
        <v>35</v>
      </c>
      <c r="D9" s="24">
        <v>789</v>
      </c>
    </row>
    <row r="10" spans="2:4" x14ac:dyDescent="0.4">
      <c r="B10" s="9">
        <v>2021</v>
      </c>
      <c r="C10" s="12" t="s">
        <v>36</v>
      </c>
      <c r="D10" s="24">
        <v>1021</v>
      </c>
    </row>
    <row r="11" spans="2:4" x14ac:dyDescent="0.4">
      <c r="B11" s="9">
        <v>2022</v>
      </c>
      <c r="C11" s="12" t="s">
        <v>37</v>
      </c>
      <c r="D11" s="24">
        <v>3782</v>
      </c>
    </row>
    <row r="12" spans="2:4" x14ac:dyDescent="0.4">
      <c r="B12" s="9">
        <v>2022</v>
      </c>
      <c r="C12" s="12" t="s">
        <v>38</v>
      </c>
      <c r="D12" s="24">
        <v>3215</v>
      </c>
    </row>
    <row r="13" spans="2:4" x14ac:dyDescent="0.4">
      <c r="B13" s="9">
        <v>2022</v>
      </c>
      <c r="C13" s="24" t="s">
        <v>39</v>
      </c>
      <c r="D13" s="24">
        <v>2936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A3D72-F26F-44C8-837B-C48815EDC995}">
  <dimension ref="B2:C10"/>
  <sheetViews>
    <sheetView workbookViewId="0">
      <selection activeCell="Q41" sqref="Q41"/>
    </sheetView>
  </sheetViews>
  <sheetFormatPr defaultRowHeight="13.9" x14ac:dyDescent="0.4"/>
  <sheetData>
    <row r="2" spans="2:3" x14ac:dyDescent="0.4">
      <c r="B2" s="23" t="s">
        <v>18</v>
      </c>
      <c r="C2" s="23" t="s">
        <v>13</v>
      </c>
    </row>
    <row r="3" spans="2:3" x14ac:dyDescent="0.4">
      <c r="B3" s="12" t="s">
        <v>9</v>
      </c>
      <c r="C3" s="25">
        <v>0.53600000000000003</v>
      </c>
    </row>
    <row r="4" spans="2:3" x14ac:dyDescent="0.4">
      <c r="B4" s="12" t="s">
        <v>10</v>
      </c>
      <c r="C4" s="25">
        <v>0.498</v>
      </c>
    </row>
    <row r="5" spans="2:3" x14ac:dyDescent="0.4">
      <c r="B5" s="12" t="s">
        <v>11</v>
      </c>
      <c r="C5" s="25">
        <v>0.52700000000000002</v>
      </c>
    </row>
    <row r="6" spans="2:3" x14ac:dyDescent="0.4">
      <c r="B6" s="12" t="s">
        <v>12</v>
      </c>
      <c r="C6" s="25">
        <v>0.70799999999999996</v>
      </c>
    </row>
    <row r="7" spans="2:3" x14ac:dyDescent="0.4">
      <c r="B7" s="12" t="s">
        <v>26</v>
      </c>
      <c r="C7" s="25">
        <v>0.60899999999999999</v>
      </c>
    </row>
    <row r="8" spans="2:3" x14ac:dyDescent="0.4">
      <c r="B8" s="12" t="s">
        <v>27</v>
      </c>
      <c r="C8" s="25">
        <v>0.496</v>
      </c>
    </row>
    <row r="9" spans="2:3" x14ac:dyDescent="0.4">
      <c r="B9" s="12" t="s">
        <v>28</v>
      </c>
      <c r="C9" s="26">
        <v>0.58599999999999997</v>
      </c>
    </row>
    <row r="10" spans="2:3" x14ac:dyDescent="0.4">
      <c r="B10" s="12" t="s">
        <v>29</v>
      </c>
      <c r="C10" s="26">
        <v>0.70399999999999996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975F8-30F7-4B79-BA35-696D56DE0685}">
  <dimension ref="B2:Q10"/>
  <sheetViews>
    <sheetView workbookViewId="0">
      <selection activeCell="I30" sqref="I30"/>
    </sheetView>
  </sheetViews>
  <sheetFormatPr defaultRowHeight="13.9" x14ac:dyDescent="0.4"/>
  <sheetData>
    <row r="2" spans="2:17" x14ac:dyDescent="0.4">
      <c r="B2" s="23" t="s">
        <v>43</v>
      </c>
      <c r="C2" s="23" t="s">
        <v>42</v>
      </c>
      <c r="D2" s="23" t="s">
        <v>41</v>
      </c>
    </row>
    <row r="3" spans="2:17" x14ac:dyDescent="0.4">
      <c r="B3" s="25" t="s">
        <v>9</v>
      </c>
      <c r="C3" s="15">
        <v>1686</v>
      </c>
      <c r="D3" s="12">
        <v>1385</v>
      </c>
      <c r="M3" s="3"/>
      <c r="N3" s="3"/>
      <c r="O3" s="3"/>
      <c r="P3" s="3"/>
      <c r="Q3" s="3"/>
    </row>
    <row r="4" spans="2:17" x14ac:dyDescent="0.4">
      <c r="B4" s="25" t="s">
        <v>25</v>
      </c>
      <c r="C4" s="15">
        <v>1345</v>
      </c>
      <c r="D4" s="12">
        <v>1846</v>
      </c>
      <c r="M4" s="2"/>
      <c r="N4" s="2"/>
      <c r="O4" s="2"/>
      <c r="P4" s="2"/>
      <c r="Q4" s="2"/>
    </row>
    <row r="5" spans="2:17" x14ac:dyDescent="0.4">
      <c r="B5" s="25" t="s">
        <v>11</v>
      </c>
      <c r="C5" s="15">
        <v>1934</v>
      </c>
      <c r="D5" s="12">
        <v>1654</v>
      </c>
      <c r="M5" s="1"/>
      <c r="N5" s="1"/>
      <c r="O5" s="1"/>
      <c r="P5" s="1"/>
      <c r="Q5" s="1"/>
    </row>
    <row r="6" spans="2:17" x14ac:dyDescent="0.4">
      <c r="B6" s="25" t="s">
        <v>12</v>
      </c>
      <c r="C6" s="15">
        <v>1658</v>
      </c>
      <c r="D6" s="12">
        <v>1936</v>
      </c>
    </row>
    <row r="7" spans="2:17" x14ac:dyDescent="0.4">
      <c r="B7" s="25" t="s">
        <v>26</v>
      </c>
      <c r="C7" s="15">
        <v>1865</v>
      </c>
      <c r="D7" s="12">
        <v>2564</v>
      </c>
    </row>
    <row r="8" spans="2:17" x14ac:dyDescent="0.4">
      <c r="B8" s="25" t="s">
        <v>27</v>
      </c>
      <c r="C8" s="15">
        <v>1936</v>
      </c>
      <c r="D8" s="12">
        <v>2236</v>
      </c>
    </row>
    <row r="9" spans="2:17" x14ac:dyDescent="0.4">
      <c r="C9" s="1"/>
      <c r="D9" s="4"/>
    </row>
    <row r="10" spans="2:17" x14ac:dyDescent="0.4">
      <c r="C10" s="1"/>
      <c r="D10" s="4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ED4B0-89AA-43D5-A360-5C067A9FDEF2}">
  <dimension ref="B2:Q6"/>
  <sheetViews>
    <sheetView workbookViewId="0">
      <selection activeCell="O9" sqref="O8:O9"/>
    </sheetView>
  </sheetViews>
  <sheetFormatPr defaultRowHeight="13.9" x14ac:dyDescent="0.4"/>
  <sheetData>
    <row r="2" spans="2:17" x14ac:dyDescent="0.4">
      <c r="B2" s="23" t="s">
        <v>13</v>
      </c>
      <c r="C2" s="23" t="s">
        <v>44</v>
      </c>
    </row>
    <row r="3" spans="2:17" x14ac:dyDescent="0.4">
      <c r="B3" s="27">
        <v>0.85</v>
      </c>
      <c r="C3" s="27">
        <v>0.15</v>
      </c>
      <c r="M3" s="3"/>
      <c r="N3" s="3"/>
      <c r="O3" s="3"/>
      <c r="P3" s="3"/>
      <c r="Q3" s="3"/>
    </row>
    <row r="4" spans="2:17" x14ac:dyDescent="0.4">
      <c r="M4" s="2"/>
      <c r="N4" s="2"/>
      <c r="Q4" s="2"/>
    </row>
    <row r="5" spans="2:17" x14ac:dyDescent="0.4">
      <c r="C5" s="1"/>
      <c r="D5" s="5"/>
    </row>
    <row r="6" spans="2:17" x14ac:dyDescent="0.4">
      <c r="C6" s="1"/>
      <c r="D6" s="5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5B43A-C920-4E67-AF81-83A1628E4741}">
  <dimension ref="B2:M24"/>
  <sheetViews>
    <sheetView workbookViewId="0">
      <selection activeCell="O22" sqref="O22"/>
    </sheetView>
  </sheetViews>
  <sheetFormatPr defaultRowHeight="13.9" x14ac:dyDescent="0.4"/>
  <sheetData>
    <row r="2" spans="2:13" x14ac:dyDescent="0.4">
      <c r="B2" s="23" t="s">
        <v>13</v>
      </c>
      <c r="C2" s="23" t="s">
        <v>69</v>
      </c>
    </row>
    <row r="3" spans="2:13" x14ac:dyDescent="0.4">
      <c r="B3" s="27">
        <v>0.65</v>
      </c>
      <c r="C3" s="27">
        <v>1</v>
      </c>
      <c r="E3" s="6"/>
      <c r="F3" s="6"/>
      <c r="G3" s="6"/>
      <c r="H3" s="6"/>
      <c r="I3" s="6"/>
      <c r="J3" s="6"/>
      <c r="K3" s="6"/>
      <c r="L3" s="6"/>
      <c r="M3" s="3"/>
    </row>
    <row r="4" spans="2:13" x14ac:dyDescent="0.4">
      <c r="E4" s="6"/>
      <c r="F4" s="6"/>
      <c r="G4" s="6"/>
      <c r="H4" s="6"/>
      <c r="I4" s="6"/>
      <c r="J4" s="6"/>
      <c r="K4" s="6"/>
      <c r="L4" s="7"/>
      <c r="M4" s="2"/>
    </row>
    <row r="5" spans="2:13" x14ac:dyDescent="0.4">
      <c r="E5" s="6"/>
      <c r="F5" s="6"/>
      <c r="G5" s="6"/>
      <c r="H5" s="6"/>
      <c r="I5" s="6"/>
      <c r="J5" s="6"/>
      <c r="K5" s="6"/>
      <c r="L5" s="6"/>
    </row>
    <row r="6" spans="2:13" x14ac:dyDescent="0.4">
      <c r="E6" s="6"/>
      <c r="F6" s="6"/>
      <c r="G6" s="6"/>
      <c r="H6" s="6"/>
      <c r="I6" s="6"/>
      <c r="J6" s="6"/>
      <c r="K6" s="6"/>
      <c r="L6" s="6"/>
    </row>
    <row r="7" spans="2:13" x14ac:dyDescent="0.4">
      <c r="E7" s="6"/>
      <c r="F7" s="6"/>
      <c r="G7" s="6"/>
      <c r="H7" s="6"/>
      <c r="I7" s="6"/>
      <c r="J7" s="6"/>
      <c r="K7" s="6"/>
      <c r="L7" s="6"/>
    </row>
    <row r="8" spans="2:13" x14ac:dyDescent="0.4">
      <c r="E8" s="6"/>
      <c r="F8" s="6"/>
      <c r="G8" s="6"/>
      <c r="H8" s="6"/>
      <c r="I8" s="6"/>
      <c r="J8" s="6"/>
      <c r="K8" s="6"/>
      <c r="L8" s="6"/>
    </row>
    <row r="9" spans="2:13" x14ac:dyDescent="0.4">
      <c r="E9" s="6"/>
      <c r="F9" s="6"/>
      <c r="G9" s="6"/>
      <c r="H9" s="6"/>
      <c r="I9" s="6"/>
      <c r="J9" s="6"/>
      <c r="K9" s="6"/>
      <c r="L9" s="6"/>
    </row>
    <row r="10" spans="2:13" x14ac:dyDescent="0.4">
      <c r="E10" s="6"/>
      <c r="F10" s="6"/>
      <c r="G10" s="6"/>
      <c r="H10" s="6"/>
      <c r="I10" s="6"/>
      <c r="J10" s="6"/>
      <c r="K10" s="6"/>
      <c r="L10" s="6"/>
    </row>
    <row r="11" spans="2:13" x14ac:dyDescent="0.4">
      <c r="E11" s="6"/>
      <c r="F11" s="6"/>
      <c r="G11" s="6"/>
      <c r="H11" s="6"/>
      <c r="I11" s="6"/>
      <c r="J11" s="6"/>
      <c r="K11" s="6"/>
      <c r="L11" s="6"/>
    </row>
    <row r="12" spans="2:13" x14ac:dyDescent="0.4">
      <c r="E12" s="6"/>
      <c r="F12" s="6"/>
      <c r="G12" s="6"/>
      <c r="H12" s="6"/>
      <c r="I12" s="6"/>
      <c r="J12" s="6"/>
      <c r="K12" s="6"/>
      <c r="L12" s="6"/>
    </row>
    <row r="13" spans="2:13" x14ac:dyDescent="0.4">
      <c r="E13" s="6"/>
      <c r="F13" s="6"/>
      <c r="G13" s="6"/>
      <c r="H13" s="6"/>
      <c r="I13" s="6"/>
      <c r="J13" s="6"/>
      <c r="K13" s="6"/>
      <c r="L13" s="6"/>
    </row>
    <row r="14" spans="2:13" x14ac:dyDescent="0.4">
      <c r="E14" s="6"/>
      <c r="F14" s="6"/>
      <c r="G14" s="6"/>
      <c r="H14" s="6"/>
      <c r="I14" s="6"/>
      <c r="J14" s="6"/>
      <c r="K14" s="6"/>
      <c r="L14" s="6"/>
    </row>
    <row r="15" spans="2:13" x14ac:dyDescent="0.4">
      <c r="E15" s="6"/>
      <c r="F15" s="6"/>
      <c r="G15" s="6"/>
      <c r="H15" s="6"/>
      <c r="I15" s="6"/>
      <c r="J15" s="6"/>
      <c r="K15" s="6"/>
      <c r="L15" s="6"/>
    </row>
    <row r="16" spans="2:13" x14ac:dyDescent="0.4">
      <c r="E16" s="6"/>
      <c r="F16" s="6"/>
      <c r="G16" s="6"/>
      <c r="H16" s="6"/>
      <c r="I16" s="6"/>
      <c r="J16" s="6"/>
      <c r="K16" s="6"/>
      <c r="L16" s="6"/>
    </row>
    <row r="17" spans="5:12" x14ac:dyDescent="0.4">
      <c r="E17" s="6"/>
      <c r="F17" s="6"/>
      <c r="G17" s="6"/>
      <c r="H17" s="6"/>
      <c r="I17" s="6"/>
      <c r="J17" s="6"/>
      <c r="K17" s="6"/>
      <c r="L17" s="6"/>
    </row>
    <row r="18" spans="5:12" x14ac:dyDescent="0.4">
      <c r="E18" s="6"/>
      <c r="F18" s="6"/>
      <c r="G18" s="6"/>
      <c r="H18" s="6"/>
      <c r="I18" s="6"/>
      <c r="J18" s="6"/>
      <c r="K18" s="6"/>
      <c r="L18" s="6"/>
    </row>
    <row r="19" spans="5:12" x14ac:dyDescent="0.4">
      <c r="E19" s="6"/>
      <c r="F19" s="6"/>
      <c r="G19" s="6"/>
      <c r="H19" s="6"/>
      <c r="I19" s="6"/>
      <c r="J19" s="6"/>
      <c r="K19" s="6"/>
      <c r="L19" s="6"/>
    </row>
    <row r="20" spans="5:12" x14ac:dyDescent="0.4">
      <c r="E20" s="6"/>
      <c r="F20" s="6"/>
      <c r="G20" s="6"/>
      <c r="H20" s="6"/>
      <c r="I20" s="6"/>
      <c r="J20" s="6"/>
      <c r="K20" s="6"/>
      <c r="L20" s="6"/>
    </row>
    <row r="21" spans="5:12" x14ac:dyDescent="0.4">
      <c r="E21" s="6"/>
      <c r="F21" s="6"/>
      <c r="G21" s="6"/>
      <c r="H21" s="6"/>
      <c r="I21" s="6"/>
      <c r="J21" s="6"/>
      <c r="K21" s="6"/>
      <c r="L21" s="6"/>
    </row>
    <row r="22" spans="5:12" x14ac:dyDescent="0.4">
      <c r="E22" s="6"/>
      <c r="F22" s="6"/>
      <c r="G22" s="6"/>
      <c r="H22" s="6"/>
      <c r="I22" s="6"/>
      <c r="J22" s="6"/>
      <c r="K22" s="6"/>
      <c r="L22" s="6"/>
    </row>
    <row r="23" spans="5:12" x14ac:dyDescent="0.4">
      <c r="E23" s="6"/>
      <c r="F23" s="6"/>
      <c r="G23" s="6"/>
      <c r="H23" s="6"/>
      <c r="I23" s="6"/>
      <c r="J23" s="6"/>
      <c r="K23" s="6"/>
      <c r="L23" s="6"/>
    </row>
    <row r="24" spans="5:12" x14ac:dyDescent="0.4">
      <c r="E24" s="6"/>
      <c r="F24" s="6"/>
      <c r="G24" s="6"/>
      <c r="H24" s="6"/>
      <c r="I24" s="6"/>
      <c r="J24" s="6"/>
      <c r="K24" s="6"/>
      <c r="L24" s="6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1 渐变柱形图</vt:lpstr>
      <vt:lpstr>2 带均值柱形图</vt:lpstr>
      <vt:lpstr>3 渐变圆角柱形图</vt:lpstr>
      <vt:lpstr>4 标注柱形图</vt:lpstr>
      <vt:lpstr>5 层叠柱形图</vt:lpstr>
      <vt:lpstr>6 蝴蝶图</vt:lpstr>
      <vt:lpstr>7 蝴蝶图</vt:lpstr>
      <vt:lpstr>8 数值百分比</vt:lpstr>
      <vt:lpstr>9 对比柱形图</vt:lpstr>
      <vt:lpstr>10 甘特图</vt:lpstr>
      <vt:lpstr>11 平滑折线图</vt:lpstr>
      <vt:lpstr>12 菱形走势图</vt:lpstr>
      <vt:lpstr>13 对比折线图</vt:lpstr>
      <vt:lpstr>14 单值圆环图</vt:lpstr>
      <vt:lpstr>15 水球图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Xiaoyuan</dc:creator>
  <cp:lastModifiedBy>yuan xiao</cp:lastModifiedBy>
  <dcterms:created xsi:type="dcterms:W3CDTF">2015-06-05T18:19:34Z</dcterms:created>
  <dcterms:modified xsi:type="dcterms:W3CDTF">2022-12-21T07:06:13Z</dcterms:modified>
</cp:coreProperties>
</file>